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rendámientos" sheetId="1" r:id="rId5"/>
    <sheet state="visible" name="Flujo de caja" sheetId="2" r:id="rId6"/>
    <sheet state="visible" name="Control stock granos" sheetId="3" r:id="rId7"/>
    <sheet state="visible" name="Control stock hacienda" sheetId="4" r:id="rId8"/>
    <sheet state="visible" name="Venta granos" sheetId="5" r:id="rId9"/>
    <sheet state="visible" name="Venta hacienda" sheetId="6" r:id="rId10"/>
    <sheet state="visible" name="Campañas" sheetId="7" r:id="rId11"/>
    <sheet state="visible" name="Control de cheques" sheetId="8" r:id="rId12"/>
    <sheet state="visible" name="Gastossueldos" sheetId="9" r:id="rId13"/>
    <sheet state="visible" name="PyME" sheetId="10" r:id="rId14"/>
    <sheet state="visible" name="Cuentas corrientes" sheetId="11" r:id="rId15"/>
    <sheet state="visible" name="Control efectivo" sheetId="12" r:id="rId16"/>
    <sheet state="visible" name="Hojas de viajes camioneros" sheetId="13" r:id="rId17"/>
  </sheets>
  <definedNames/>
  <calcPr/>
</workbook>
</file>

<file path=xl/sharedStrings.xml><?xml version="1.0" encoding="utf-8"?>
<sst xmlns="http://schemas.openxmlformats.org/spreadsheetml/2006/main" count="423" uniqueCount="310">
  <si>
    <t xml:space="preserve">Mes </t>
  </si>
  <si>
    <t>Kilos</t>
  </si>
  <si>
    <t>Promedio soja</t>
  </si>
  <si>
    <t>Total</t>
  </si>
  <si>
    <t>Nico</t>
  </si>
  <si>
    <t>Adelanto</t>
  </si>
  <si>
    <t>Total a cobrar</t>
  </si>
  <si>
    <t>Pagos</t>
  </si>
  <si>
    <t>Saldo anterior</t>
  </si>
  <si>
    <t>Resto en kilos</t>
  </si>
  <si>
    <t>Resto en $</t>
  </si>
  <si>
    <t xml:space="preserve">Medio de pago </t>
  </si>
  <si>
    <t>Febrero (se paga en marzo)</t>
  </si>
  <si>
    <t>transferencia 09/03</t>
  </si>
  <si>
    <t>Transferencia 11/03</t>
  </si>
  <si>
    <t xml:space="preserve">Cheque de 5mm </t>
  </si>
  <si>
    <t>Transferencia 20/03</t>
  </si>
  <si>
    <t>Transferencia el 27/03</t>
  </si>
  <si>
    <t>FLUJO DE CAJA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</si>
  <si>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</si>
  <si>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</si>
  <si>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</si>
  <si>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</si>
  <si>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</si>
  <si>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</si>
  <si>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</si>
  <si>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</si>
  <si>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</si>
  <si>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</si>
  <si>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</si>
  <si>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</si>
  <si>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</si>
  <si>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Sando inicial en caja</t>
  </si>
  <si>
    <t>Ingresos</t>
  </si>
  <si>
    <t>Ventas granos</t>
  </si>
  <si>
    <t>Ventas hacienda</t>
  </si>
  <si>
    <t>Otras ventas</t>
  </si>
  <si>
    <t>Cheques</t>
  </si>
  <si>
    <t>Créditos</t>
  </si>
  <si>
    <t>Pymes</t>
  </si>
  <si>
    <t>Fletes</t>
  </si>
  <si>
    <t>Otros ingresos</t>
  </si>
  <si>
    <t>Egresos</t>
  </si>
  <si>
    <t>Impuestos</t>
  </si>
  <si>
    <t>Servicios</t>
  </si>
  <si>
    <t>Empleados</t>
  </si>
  <si>
    <t>Proveedores</t>
  </si>
  <si>
    <t xml:space="preserve">Cuota créditos </t>
  </si>
  <si>
    <t>Extracción efectivo(bancos)</t>
  </si>
  <si>
    <t>Pago cheque</t>
  </si>
  <si>
    <t>Arrendamientos</t>
  </si>
  <si>
    <t>Otros</t>
  </si>
  <si>
    <t xml:space="preserve">Flujo de caja mensual </t>
  </si>
  <si>
    <t>Flujo de caja acumulado</t>
  </si>
  <si>
    <t>PERÍODO</t>
  </si>
  <si>
    <t>MONTO</t>
  </si>
  <si>
    <t>TIPO DE INGRESO</t>
  </si>
  <si>
    <t>TIPO DE EGRESO</t>
  </si>
  <si>
    <t>02/26</t>
  </si>
  <si>
    <t>CUOTA CREDITO</t>
  </si>
  <si>
    <t>03/26</t>
  </si>
  <si>
    <t>CREDITO</t>
  </si>
  <si>
    <t>OTROS</t>
  </si>
  <si>
    <t>PROVEEDORES</t>
  </si>
  <si>
    <t>EMPLEADOS</t>
  </si>
  <si>
    <t>PERIODO</t>
  </si>
  <si>
    <t>GRANOS</t>
  </si>
  <si>
    <t>HACIENDA</t>
  </si>
  <si>
    <t>FLETES</t>
  </si>
  <si>
    <t>PYME</t>
  </si>
  <si>
    <t>CHEQUES</t>
  </si>
  <si>
    <t>OTRAS VENTAS</t>
  </si>
  <si>
    <t>OTROS INGRESOS</t>
  </si>
  <si>
    <t>IMPUESTOS</t>
  </si>
  <si>
    <t>SERVICIOS</t>
  </si>
  <si>
    <t>RETIROS EFECTIVO</t>
  </si>
  <si>
    <t>ARRENDAMIENTOS</t>
  </si>
  <si>
    <t>PAGO CHEQUE</t>
  </si>
  <si>
    <t>01/26</t>
  </si>
  <si>
    <t>04/26</t>
  </si>
  <si>
    <t>05/26</t>
  </si>
  <si>
    <t>KG CARGA</t>
  </si>
  <si>
    <t>FECHA DE LA CARGA</t>
  </si>
  <si>
    <t>CPE</t>
  </si>
  <si>
    <t>HA</t>
  </si>
  <si>
    <t>QQ</t>
  </si>
  <si>
    <t>KG ESTIMATIVOS</t>
  </si>
  <si>
    <t>TOTAL INICIAL</t>
  </si>
  <si>
    <t>TOTAL DE CARGAS</t>
  </si>
  <si>
    <t>TOTAL DISPONIBLE</t>
  </si>
  <si>
    <t>RENSPA: 03.014.1.03312/00</t>
  </si>
  <si>
    <t>Especie</t>
  </si>
  <si>
    <t>Categoria</t>
  </si>
  <si>
    <t>Stock</t>
  </si>
  <si>
    <t xml:space="preserve">Cambio </t>
  </si>
  <si>
    <t>Stock real</t>
  </si>
  <si>
    <t>Diferencia</t>
  </si>
  <si>
    <t>Notas</t>
  </si>
  <si>
    <t>Bovino</t>
  </si>
  <si>
    <t>Vaca</t>
  </si>
  <si>
    <t>Ternero</t>
  </si>
  <si>
    <t>Fecha</t>
  </si>
  <si>
    <t>Carga de camión</t>
  </si>
  <si>
    <t>Kilos de descargas</t>
  </si>
  <si>
    <t>Kilos de descuento</t>
  </si>
  <si>
    <t>Kilos totales</t>
  </si>
  <si>
    <t>Pizarra al día</t>
  </si>
  <si>
    <t>Descuento</t>
  </si>
  <si>
    <t>Descuento de pizarra</t>
  </si>
  <si>
    <t>Importe</t>
  </si>
  <si>
    <t>Importe total</t>
  </si>
  <si>
    <t>Carga flete</t>
  </si>
  <si>
    <t>Ultimo saldo</t>
  </si>
  <si>
    <t>Entrega</t>
  </si>
  <si>
    <t>Medio de pago</t>
  </si>
  <si>
    <t>Saldo final</t>
  </si>
  <si>
    <t>Maiz</t>
  </si>
  <si>
    <t>Kilos Bruto</t>
  </si>
  <si>
    <t>Kilos Tara</t>
  </si>
  <si>
    <t>Kilos Neto</t>
  </si>
  <si>
    <t>Desvaste</t>
  </si>
  <si>
    <t>Precio</t>
  </si>
  <si>
    <t>IVA</t>
  </si>
  <si>
    <t>Bovinos</t>
  </si>
  <si>
    <t>2 echeq</t>
  </si>
  <si>
    <t>transfiere a llsp bna</t>
  </si>
  <si>
    <r>
      <rPr>
        <rFont val="Arial"/>
        <b/>
        <color theme="1"/>
      </rPr>
      <t xml:space="preserve">CAMPO </t>
    </r>
    <r>
      <rPr>
        <rFont val="Arial"/>
        <b val="0"/>
        <color theme="1"/>
      </rPr>
      <t>LOTE 1 CONTRA MINCOF</t>
    </r>
  </si>
  <si>
    <t>Aplicacion/labor</t>
  </si>
  <si>
    <t>U$S</t>
  </si>
  <si>
    <t>SIEMBRA</t>
  </si>
  <si>
    <t>Centeno</t>
  </si>
  <si>
    <t xml:space="preserve">Siembra </t>
  </si>
  <si>
    <t>TC</t>
  </si>
  <si>
    <t>Semilla</t>
  </si>
  <si>
    <t>U$S/ TON</t>
  </si>
  <si>
    <t>A COBRAR</t>
  </si>
  <si>
    <t>Pulverizada</t>
  </si>
  <si>
    <t>Cultivo</t>
  </si>
  <si>
    <t>Insumos y labores</t>
  </si>
  <si>
    <t>Unidades/ha</t>
  </si>
  <si>
    <t>u$s/unidad</t>
  </si>
  <si>
    <t>u$s/ha</t>
  </si>
  <si>
    <t>u$s/ha IVA inc</t>
  </si>
  <si>
    <t>Total u$s (sin IVA)</t>
  </si>
  <si>
    <t>Total líquidos</t>
  </si>
  <si>
    <t>Observaciones</t>
  </si>
  <si>
    <t>Glifosato</t>
  </si>
  <si>
    <t>2-4 D</t>
  </si>
  <si>
    <t>Strimg</t>
  </si>
  <si>
    <t>Bambel</t>
  </si>
  <si>
    <t>Glufosinato</t>
  </si>
  <si>
    <t>24D enlis</t>
  </si>
  <si>
    <t>Eco rizo</t>
  </si>
  <si>
    <t>Insecticida</t>
  </si>
  <si>
    <t>Glifo</t>
  </si>
  <si>
    <t>Atrazina</t>
  </si>
  <si>
    <t>Voraxor</t>
  </si>
  <si>
    <t>24D</t>
  </si>
  <si>
    <t>Banco Emisor</t>
  </si>
  <si>
    <t>Numero de cheque</t>
  </si>
  <si>
    <t>Tipo de cheque</t>
  </si>
  <si>
    <t>Titular</t>
  </si>
  <si>
    <t>CUIT Titular</t>
  </si>
  <si>
    <t xml:space="preserve">Fecha de recepcion </t>
  </si>
  <si>
    <t>Fecha de entrega</t>
  </si>
  <si>
    <t>Fecha de pago</t>
  </si>
  <si>
    <t>Monto</t>
  </si>
  <si>
    <t>Origen</t>
  </si>
  <si>
    <t>Destino</t>
  </si>
  <si>
    <t>Estado</t>
  </si>
  <si>
    <t xml:space="preserve">Quien lo recibe </t>
  </si>
  <si>
    <t>Banco San Juan</t>
  </si>
  <si>
    <t>Fisico</t>
  </si>
  <si>
    <t>Valli Enrique Federico</t>
  </si>
  <si>
    <t>11-11111111-1</t>
  </si>
  <si>
    <t>BBVA Frances</t>
  </si>
  <si>
    <t>Perotti German Antonio</t>
  </si>
  <si>
    <t>Banco Coinag</t>
  </si>
  <si>
    <t xml:space="preserve">Hudson Servicios </t>
  </si>
  <si>
    <t>Nuxen</t>
  </si>
  <si>
    <t xml:space="preserve">depositado en el macro </t>
  </si>
  <si>
    <t xml:space="preserve">Oficina </t>
  </si>
  <si>
    <t>Banco industrial</t>
  </si>
  <si>
    <t>lartirigoyen y cia s.a</t>
  </si>
  <si>
    <t xml:space="preserve">De next agro </t>
  </si>
  <si>
    <t>nuxen</t>
  </si>
  <si>
    <t>Descripcion</t>
  </si>
  <si>
    <t>Fecha de inicio</t>
  </si>
  <si>
    <t>Transfiere a Ingrid</t>
  </si>
  <si>
    <t>Transfiere a cuenta Luciano</t>
  </si>
  <si>
    <t xml:space="preserve">german alvarado </t>
  </si>
  <si>
    <t xml:space="preserve">julio santillan </t>
  </si>
  <si>
    <t>Arca luciano</t>
  </si>
  <si>
    <t>SUELDOS EMPLEADOS:</t>
  </si>
  <si>
    <t>Fecha de inicio: 01/04/26</t>
  </si>
  <si>
    <t>Dias trabajados</t>
  </si>
  <si>
    <t xml:space="preserve">Dias NO trabajados </t>
  </si>
  <si>
    <t>Cobra p/dia</t>
  </si>
  <si>
    <t>TOTAL A COBRAR</t>
  </si>
  <si>
    <t xml:space="preserve">TOTAL </t>
  </si>
  <si>
    <t>GASTOS/TRANSFERENCIAS</t>
  </si>
  <si>
    <t>Fecha de finalización</t>
  </si>
  <si>
    <t xml:space="preserve">MES </t>
  </si>
  <si>
    <t>4 jugos</t>
  </si>
  <si>
    <t>Pendiente</t>
  </si>
  <si>
    <t>Marzo</t>
  </si>
  <si>
    <t>atado</t>
  </si>
  <si>
    <t xml:space="preserve">Fecha </t>
  </si>
  <si>
    <t>Concepto</t>
  </si>
  <si>
    <t>Detalle</t>
  </si>
  <si>
    <t>Mutual</t>
  </si>
  <si>
    <t>Monotributo</t>
  </si>
  <si>
    <t>SUELDO BASE</t>
  </si>
  <si>
    <t>Otro</t>
  </si>
  <si>
    <t xml:space="preserve">seguro empleados </t>
  </si>
  <si>
    <t>EXTRA</t>
  </si>
  <si>
    <t>ADELANTO</t>
  </si>
  <si>
    <t>TOTAL</t>
  </si>
  <si>
    <t>Fecha grupo</t>
  </si>
  <si>
    <t>Tipo</t>
  </si>
  <si>
    <t>KG</t>
  </si>
  <si>
    <t>Precio por KG</t>
  </si>
  <si>
    <t>Entregado a</t>
  </si>
  <si>
    <t>Lechon</t>
  </si>
  <si>
    <t>No pago</t>
  </si>
  <si>
    <t>Para Denise y Valen BNA</t>
  </si>
  <si>
    <t>Vendió Luciano</t>
  </si>
  <si>
    <t>Retiró Gerardo</t>
  </si>
  <si>
    <t>Cordero</t>
  </si>
  <si>
    <t>Matin dos banderas</t>
  </si>
  <si>
    <t>Chivito</t>
  </si>
  <si>
    <t>Pago</t>
  </si>
  <si>
    <t>Nombre del cliente / proveedor</t>
  </si>
  <si>
    <t>Saldo total</t>
  </si>
  <si>
    <t xml:space="preserve">Transferencia o echeq </t>
  </si>
  <si>
    <t>Fecha de la solicitud</t>
  </si>
  <si>
    <t xml:space="preserve">Prioridad </t>
  </si>
  <si>
    <t xml:space="preserve">Estado de la cuenta </t>
  </si>
  <si>
    <t xml:space="preserve">Mascanfroni Angel </t>
  </si>
  <si>
    <t>Echeq</t>
  </si>
  <si>
    <t xml:space="preserve">Baja </t>
  </si>
  <si>
    <t xml:space="preserve">Pendiente </t>
  </si>
  <si>
    <t>BABEL.DEBATE.RENO</t>
  </si>
  <si>
    <t xml:space="preserve">Rentas LLSP </t>
  </si>
  <si>
    <t>Transferencia</t>
  </si>
  <si>
    <t>Media</t>
  </si>
  <si>
    <t xml:space="preserve">Meses adeudados: sep y oct </t>
  </si>
  <si>
    <t xml:space="preserve">Rentas El Pistrin </t>
  </si>
  <si>
    <t>Efectivo</t>
  </si>
  <si>
    <t>Alta</t>
  </si>
  <si>
    <t>Ingreso</t>
  </si>
  <si>
    <t>Recibido por</t>
  </si>
  <si>
    <t>Cuenta de</t>
  </si>
  <si>
    <t>Egreso</t>
  </si>
  <si>
    <t xml:space="preserve">Entregado a </t>
  </si>
  <si>
    <t>Disponible</t>
  </si>
  <si>
    <t>Administración</t>
  </si>
  <si>
    <t>Luciano (250 Claudio, 40 Osmar)</t>
  </si>
  <si>
    <t>Sobró de pagos de servicios. de Gerardo</t>
  </si>
  <si>
    <t>Facha</t>
  </si>
  <si>
    <t>De melchor (negocio de avena y centeno)</t>
  </si>
  <si>
    <t>Yerba oficina</t>
  </si>
  <si>
    <t>Activos</t>
  </si>
  <si>
    <t>Tipo de pasivo</t>
  </si>
  <si>
    <t>Pasivos empresa</t>
  </si>
  <si>
    <t xml:space="preserve">Pasivos Familia </t>
  </si>
  <si>
    <t>Columna 1</t>
  </si>
  <si>
    <t>Retiró Ingrid de oficina</t>
  </si>
  <si>
    <t>TOTAL ACTIVOS</t>
  </si>
  <si>
    <t>TOTAL PASIVOS EMPRESA</t>
  </si>
  <si>
    <t>TOTAL PASIVOS FLIA</t>
  </si>
  <si>
    <t>A FAVOR</t>
  </si>
  <si>
    <t>PROPIO</t>
  </si>
  <si>
    <t xml:space="preserve">Gas casa sobremonte </t>
  </si>
  <si>
    <t xml:space="preserve">Retira luciano de la oficina </t>
  </si>
  <si>
    <t xml:space="preserve">Torino </t>
  </si>
  <si>
    <t>EMPRESA</t>
  </si>
  <si>
    <t xml:space="preserve">Deja en la oficina </t>
  </si>
  <si>
    <t>Fecha de INICIO</t>
  </si>
  <si>
    <t>Lugar de partida - Destino</t>
  </si>
  <si>
    <t xml:space="preserve">Transporta </t>
  </si>
  <si>
    <t>CTG</t>
  </si>
  <si>
    <t>Num de CDP</t>
  </si>
  <si>
    <t>KM de inicio</t>
  </si>
  <si>
    <t>MC DE GAS</t>
  </si>
  <si>
    <t xml:space="preserve">Gastos de gas/combustible </t>
  </si>
  <si>
    <t>Gastos de peajes</t>
  </si>
  <si>
    <t>Gastos de comida</t>
  </si>
  <si>
    <t>Gastos varios</t>
  </si>
  <si>
    <t>Fecha de finalizacion</t>
  </si>
  <si>
    <t>KM al finalizar</t>
  </si>
  <si>
    <t>KM recorridos</t>
  </si>
  <si>
    <t xml:space="preserve">KG de descarga </t>
  </si>
  <si>
    <t>Gastos totales</t>
  </si>
  <si>
    <t>Transferencias</t>
  </si>
  <si>
    <t>Sobrante viaje anterior</t>
  </si>
  <si>
    <t>Resto de dinero</t>
  </si>
  <si>
    <t>Acequias - santa fe</t>
  </si>
  <si>
    <t>maiz</t>
  </si>
  <si>
    <t>acequias - santa fe</t>
  </si>
  <si>
    <t>Chucul - Santa Fe</t>
  </si>
  <si>
    <t>Soja</t>
  </si>
  <si>
    <t>Chala mani de laguna al campo</t>
  </si>
  <si>
    <t>Holberg - Gral Deheza</t>
  </si>
  <si>
    <t>Girasol</t>
  </si>
  <si>
    <t>Se trajo 35460k de piedra desde los condores al campo</t>
  </si>
  <si>
    <t>La carolina - Timbues renova</t>
  </si>
  <si>
    <t>El conto la comida y los numeros no dan.</t>
  </si>
  <si>
    <t>La carolina - cofco</t>
  </si>
  <si>
    <t xml:space="preserve">Conto la comida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</si>
</sst>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 $]#,##0.00"/>
    <numFmt numFmtId="165" formatCode="&quot;$&quot;#,##0.00"/>
    <numFmt numFmtId="166" formatCode="d/m/yy"/>
    <numFmt numFmtId="167" formatCode="d/M/yyyy"/>
    <numFmt numFmtId="168" formatCode="&quot;$&quot;#,##0.000"/>
  </numFmts>
  <fonts count="2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8.0"/>
      <color theme="1"/>
      <name val="Arial"/>
    </font>
    <font>
      <b/>
      <sz val="14.0"/>
      <color theme="1"/>
      <name val="Arial"/>
    </font>
    <font>
      <color theme="1"/>
      <name val="Roboto"/>
    </font>
    <font>
      <b/>
      <color theme="1"/>
      <name val="Roboto"/>
    </font>
    <font>
      <color rgb="FF434343"/>
      <name val="Roboto"/>
    </font>
    <font>
      <b/>
      <color rgb="FF434343"/>
      <name val="Roboto"/>
    </font>
    <font>
      <color rgb="FF434343"/>
      <name val="Arial"/>
    </font>
    <font/>
    <font>
      <b/>
      <sz val="8.0"/>
      <color theme="1"/>
      <name val="Arial"/>
    </font>
    <font>
      <sz val="8.0"/>
      <color theme="1"/>
      <name val="Arial"/>
    </font>
    <font>
      <color rgb="FF11734B"/>
      <name val="Roboto"/>
    </font>
    <font>
      <b/>
      <color theme="1"/>
      <name val="Arial"/>
      <scheme val="minor"/>
    </font>
    <font>
      <color rgb="FF6D0303"/>
      <name val="Roboto"/>
    </font>
    <font>
      <color rgb="FF9E5200"/>
      <name val="Roboto"/>
    </font>
    <font>
      <color rgb="FF2A4AB0"/>
      <name val="Roboto"/>
    </font>
    <font>
      <color rgb="FF29332B"/>
      <name val="Roboto"/>
    </font>
    <font>
      <color rgb="FF005A55"/>
      <name val="Roboto"/>
    </font>
    <font>
      <color rgb="FFFFCFC9"/>
      <name val="Roboto"/>
    </font>
    <font>
      <color rgb="FF473821"/>
      <name val="Roboto"/>
    </font>
    <font>
      <color rgb="FFD4EDBC"/>
      <name val="Roboto"/>
    </font>
    <font>
      <color rgb="FF473821"/>
      <name val="Arial"/>
    </font>
    <font>
      <color rgb="FF5A3286"/>
      <name val="Arial"/>
    </font>
    <font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3FFC1"/>
        <bgColor rgb="FFC3FFC1"/>
      </patternFill>
    </fill>
    <fill>
      <patternFill patternType="solid">
        <fgColor rgb="FFFCE5CD"/>
        <bgColor rgb="FFFCE5CD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38416A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8416A"/>
      </right>
      <top style="thin">
        <color rgb="FFFFFFFF"/>
      </top>
      <bottom style="thin">
        <color rgb="FFFFFFFF"/>
      </bottom>
    </border>
    <border>
      <left style="thin">
        <color rgb="FF38416A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8416A"/>
      </right>
      <top style="thin">
        <color rgb="FFF6F8F9"/>
      </top>
      <bottom style="thin">
        <color rgb="FFF6F8F9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FFFFFF"/>
      </bottom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F6F8F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D5A6BD"/>
      </right>
      <top style="thin">
        <color rgb="FFD5A6BD"/>
      </top>
      <bottom style="thin">
        <color rgb="FFD5A6BD"/>
      </bottom>
    </border>
    <border>
      <left style="thin">
        <color rgb="FFD5A6BD"/>
      </left>
      <right style="thin">
        <color rgb="FFD5A6BD"/>
      </right>
      <top style="thin">
        <color rgb="FFD5A6BD"/>
      </top>
      <bottom style="thin">
        <color rgb="FFD5A6BD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</borders>
  <cellStyleXfs count="1">
    <xf borderId="0" fillId="0" fontId="0" numFmtId="0" applyAlignment="1" applyFont="1"/>
  </cellStyleXfs>
  <cellXfs count="2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4" xfId="0" applyAlignment="1" applyBorder="1" applyFont="1" applyNumberFormat="1">
      <alignment vertical="bottom"/>
    </xf>
    <xf borderId="1" fillId="0" fontId="2" numFmtId="4" xfId="0" applyAlignment="1" applyBorder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2" fillId="2" fontId="4" numFmtId="0" xfId="0" applyAlignment="1" applyBorder="1" applyFill="1" applyFont="1">
      <alignment horizontal="center" vertical="bottom"/>
    </xf>
    <xf borderId="2" fillId="2" fontId="2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vertical="bottom"/>
    </xf>
    <xf borderId="3" fillId="3" fontId="2" numFmtId="0" xfId="0" applyAlignment="1" applyBorder="1" applyFont="1">
      <alignment vertical="bottom"/>
    </xf>
    <xf borderId="4" fillId="3" fontId="2" numFmtId="0" xfId="0" applyAlignment="1" applyBorder="1" applyFont="1">
      <alignment vertical="bottom"/>
    </xf>
    <xf borderId="5" fillId="3" fontId="2" numFmtId="0" xfId="0" applyAlignment="1" applyBorder="1" applyFont="1">
      <alignment vertical="bottom"/>
    </xf>
    <xf borderId="6" fillId="4" fontId="1" numFmtId="0" xfId="0" applyAlignment="1" applyBorder="1" applyFill="1" applyFont="1">
      <alignment vertical="bottom"/>
    </xf>
    <xf borderId="7" fillId="4" fontId="1" numFmtId="164" xfId="0" applyAlignment="1" applyBorder="1" applyFont="1" applyNumberFormat="1">
      <alignment horizontal="right" vertical="bottom"/>
    </xf>
    <xf borderId="8" fillId="4" fontId="1" numFmtId="164" xfId="0" applyAlignment="1" applyBorder="1" applyFont="1" applyNumberFormat="1">
      <alignment horizontal="right" vertical="bottom"/>
    </xf>
    <xf borderId="9" fillId="4" fontId="1" numFmtId="164" xfId="0" applyAlignment="1" applyBorder="1" applyFont="1" applyNumberFormat="1">
      <alignment horizontal="right" vertical="bottom"/>
    </xf>
    <xf borderId="10" fillId="5" fontId="2" numFmtId="0" xfId="0" applyAlignment="1" applyBorder="1" applyFill="1" applyFont="1">
      <alignment horizontal="right" vertical="bottom"/>
    </xf>
    <xf borderId="11" fillId="5" fontId="2" numFmtId="164" xfId="0" applyAlignment="1" applyBorder="1" applyFont="1" applyNumberFormat="1">
      <alignment vertical="bottom"/>
    </xf>
    <xf borderId="1" fillId="5" fontId="2" numFmtId="164" xfId="0" applyAlignment="1" applyBorder="1" applyFont="1" applyNumberFormat="1">
      <alignment vertical="bottom"/>
    </xf>
    <xf borderId="12" fillId="5" fontId="2" numFmtId="164" xfId="0" applyAlignment="1" applyBorder="1" applyFont="1" applyNumberFormat="1">
      <alignment vertical="bottom"/>
    </xf>
    <xf borderId="13" fillId="5" fontId="2" numFmtId="0" xfId="0" applyAlignment="1" applyBorder="1" applyFont="1">
      <alignment horizontal="right" vertical="bottom"/>
    </xf>
    <xf borderId="14" fillId="5" fontId="2" numFmtId="164" xfId="0" applyAlignment="1" applyBorder="1" applyFont="1" applyNumberFormat="1">
      <alignment vertical="bottom"/>
    </xf>
    <xf borderId="15" fillId="5" fontId="2" numFmtId="164" xfId="0" applyAlignment="1" applyBorder="1" applyFont="1" applyNumberFormat="1">
      <alignment vertical="bottom"/>
    </xf>
    <xf borderId="16" fillId="5" fontId="2" numFmtId="164" xfId="0" applyAlignment="1" applyBorder="1" applyFont="1" applyNumberFormat="1">
      <alignment vertical="bottom"/>
    </xf>
    <xf borderId="17" fillId="5" fontId="2" numFmtId="0" xfId="0" applyAlignment="1" applyBorder="1" applyFont="1">
      <alignment horizontal="right" vertical="bottom"/>
    </xf>
    <xf borderId="18" fillId="5" fontId="2" numFmtId="164" xfId="0" applyAlignment="1" applyBorder="1" applyFont="1" applyNumberFormat="1">
      <alignment vertical="bottom"/>
    </xf>
    <xf borderId="19" fillId="5" fontId="2" numFmtId="164" xfId="0" applyAlignment="1" applyBorder="1" applyFont="1" applyNumberFormat="1">
      <alignment vertical="bottom"/>
    </xf>
    <xf borderId="20" fillId="5" fontId="2" numFmtId="164" xfId="0" applyAlignment="1" applyBorder="1" applyFont="1" applyNumberFormat="1">
      <alignment vertical="bottom"/>
    </xf>
    <xf borderId="0" fillId="0" fontId="2" numFmtId="164" xfId="0" applyAlignment="1" applyFont="1" applyNumberFormat="1">
      <alignment vertical="bottom"/>
    </xf>
    <xf borderId="6" fillId="6" fontId="1" numFmtId="0" xfId="0" applyAlignment="1" applyBorder="1" applyFill="1" applyFont="1">
      <alignment vertical="bottom"/>
    </xf>
    <xf borderId="7" fillId="6" fontId="1" numFmtId="164" xfId="0" applyAlignment="1" applyBorder="1" applyFont="1" applyNumberFormat="1">
      <alignment horizontal="right" vertical="bottom"/>
    </xf>
    <xf borderId="8" fillId="6" fontId="1" numFmtId="164" xfId="0" applyAlignment="1" applyBorder="1" applyFont="1" applyNumberFormat="1">
      <alignment horizontal="right" vertical="bottom"/>
    </xf>
    <xf borderId="9" fillId="6" fontId="1" numFmtId="164" xfId="0" applyAlignment="1" applyBorder="1" applyFont="1" applyNumberFormat="1">
      <alignment horizontal="right" vertical="bottom"/>
    </xf>
    <xf borderId="10" fillId="7" fontId="2" numFmtId="0" xfId="0" applyAlignment="1" applyBorder="1" applyFill="1" applyFont="1">
      <alignment horizontal="right" vertical="bottom"/>
    </xf>
    <xf borderId="11" fillId="7" fontId="2" numFmtId="164" xfId="0" applyAlignment="1" applyBorder="1" applyFont="1" applyNumberFormat="1">
      <alignment vertical="bottom"/>
    </xf>
    <xf borderId="1" fillId="7" fontId="2" numFmtId="164" xfId="0" applyAlignment="1" applyBorder="1" applyFont="1" applyNumberFormat="1">
      <alignment vertical="bottom"/>
    </xf>
    <xf borderId="12" fillId="7" fontId="2" numFmtId="164" xfId="0" applyAlignment="1" applyBorder="1" applyFont="1" applyNumberFormat="1">
      <alignment vertical="bottom"/>
    </xf>
    <xf borderId="13" fillId="7" fontId="2" numFmtId="0" xfId="0" applyAlignment="1" applyBorder="1" applyFont="1">
      <alignment horizontal="right" vertical="bottom"/>
    </xf>
    <xf borderId="14" fillId="7" fontId="2" numFmtId="164" xfId="0" applyAlignment="1" applyBorder="1" applyFont="1" applyNumberFormat="1">
      <alignment vertical="bottom"/>
    </xf>
    <xf borderId="15" fillId="7" fontId="2" numFmtId="164" xfId="0" applyAlignment="1" applyBorder="1" applyFont="1" applyNumberFormat="1">
      <alignment vertical="bottom"/>
    </xf>
    <xf borderId="16" fillId="7" fontId="2" numFmtId="164" xfId="0" applyAlignment="1" applyBorder="1" applyFont="1" applyNumberFormat="1">
      <alignment vertical="bottom"/>
    </xf>
    <xf borderId="17" fillId="7" fontId="2" numFmtId="0" xfId="0" applyAlignment="1" applyBorder="1" applyFont="1">
      <alignment horizontal="right" vertical="bottom"/>
    </xf>
    <xf borderId="18" fillId="7" fontId="2" numFmtId="164" xfId="0" applyAlignment="1" applyBorder="1" applyFont="1" applyNumberFormat="1">
      <alignment vertical="bottom"/>
    </xf>
    <xf borderId="19" fillId="7" fontId="2" numFmtId="164" xfId="0" applyAlignment="1" applyBorder="1" applyFont="1" applyNumberFormat="1">
      <alignment vertical="bottom"/>
    </xf>
    <xf borderId="20" fillId="7" fontId="2" numFmtId="164" xfId="0" applyAlignment="1" applyBorder="1" applyFont="1" applyNumberFormat="1">
      <alignment vertical="bottom"/>
    </xf>
    <xf borderId="6" fillId="8" fontId="1" numFmtId="0" xfId="0" applyAlignment="1" applyBorder="1" applyFill="1" applyFont="1">
      <alignment vertical="bottom"/>
    </xf>
    <xf borderId="7" fillId="8" fontId="2" numFmtId="164" xfId="0" applyAlignment="1" applyBorder="1" applyFont="1" applyNumberFormat="1">
      <alignment horizontal="right" vertical="bottom"/>
    </xf>
    <xf borderId="8" fillId="8" fontId="2" numFmtId="164" xfId="0" applyAlignment="1" applyBorder="1" applyFont="1" applyNumberFormat="1">
      <alignment horizontal="right" vertical="bottom"/>
    </xf>
    <xf borderId="9" fillId="8" fontId="2" numFmtId="164" xfId="0" applyAlignment="1" applyBorder="1" applyFont="1" applyNumberFormat="1">
      <alignment horizontal="right" vertical="bottom"/>
    </xf>
    <xf borderId="17" fillId="8" fontId="1" numFmtId="0" xfId="0" applyAlignment="1" applyBorder="1" applyFont="1">
      <alignment vertical="bottom"/>
    </xf>
    <xf borderId="18" fillId="8" fontId="2" numFmtId="164" xfId="0" applyAlignment="1" applyBorder="1" applyFont="1" applyNumberFormat="1">
      <alignment vertical="bottom"/>
    </xf>
    <xf borderId="19" fillId="8" fontId="2" numFmtId="164" xfId="0" applyAlignment="1" applyBorder="1" applyFont="1" applyNumberFormat="1">
      <alignment horizontal="right" vertical="bottom"/>
    </xf>
    <xf borderId="20" fillId="8" fontId="2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21" fillId="9" fontId="7" numFmtId="0" xfId="0" applyAlignment="1" applyBorder="1" applyFill="1" applyFont="1">
      <alignment shrinkToFit="0" vertical="center" wrapText="0"/>
    </xf>
    <xf borderId="22" fillId="9" fontId="2" numFmtId="164" xfId="0" applyAlignment="1" applyBorder="1" applyFont="1" applyNumberFormat="1">
      <alignment shrinkToFit="0" vertical="center" wrapText="0"/>
    </xf>
    <xf borderId="23" fillId="9" fontId="2" numFmtId="0" xfId="0" applyAlignment="1" applyBorder="1" applyFont="1">
      <alignment shrinkToFit="0" vertical="center" wrapText="0"/>
    </xf>
    <xf borderId="22" fillId="9" fontId="7" numFmtId="165" xfId="0" applyAlignment="1" applyBorder="1" applyFont="1" applyNumberFormat="1">
      <alignment horizontal="right" shrinkToFit="0" vertical="center" wrapText="0"/>
    </xf>
    <xf borderId="23" fillId="9" fontId="7" numFmtId="0" xfId="0" applyAlignment="1" applyBorder="1" applyFont="1">
      <alignment shrinkToFit="0" vertical="center" wrapText="0"/>
    </xf>
    <xf borderId="24" fillId="10" fontId="7" numFmtId="0" xfId="0" applyAlignment="1" applyBorder="1" applyFill="1" applyFont="1">
      <alignment shrinkToFit="0" vertical="center" wrapText="0"/>
    </xf>
    <xf borderId="25" fillId="10" fontId="7" numFmtId="164" xfId="0" applyAlignment="1" applyBorder="1" applyFont="1" applyNumberFormat="1">
      <alignment horizontal="right" shrinkToFit="0" vertical="center" wrapText="0"/>
    </xf>
    <xf borderId="26" fillId="10" fontId="7" numFmtId="0" xfId="0" applyAlignment="1" applyBorder="1" applyFont="1">
      <alignment shrinkToFit="0" vertical="center" wrapText="0"/>
    </xf>
    <xf borderId="25" fillId="10" fontId="7" numFmtId="165" xfId="0" applyAlignment="1" applyBorder="1" applyFont="1" applyNumberFormat="1">
      <alignment horizontal="right" shrinkToFit="0" vertical="center" wrapText="0"/>
    </xf>
    <xf borderId="24" fillId="10" fontId="2" numFmtId="0" xfId="0" applyAlignment="1" applyBorder="1" applyFont="1">
      <alignment shrinkToFit="0" vertical="center" wrapText="0"/>
    </xf>
    <xf borderId="25" fillId="10" fontId="2" numFmtId="164" xfId="0" applyAlignment="1" applyBorder="1" applyFont="1" applyNumberFormat="1">
      <alignment shrinkToFit="0" vertical="center" wrapText="0"/>
    </xf>
    <xf borderId="26" fillId="10" fontId="2" numFmtId="0" xfId="0" applyAlignment="1" applyBorder="1" applyFont="1">
      <alignment shrinkToFit="0" vertical="center" wrapText="0"/>
    </xf>
    <xf borderId="21" fillId="9" fontId="2" numFmtId="0" xfId="0" applyAlignment="1" applyBorder="1" applyFont="1">
      <alignment shrinkToFit="0" vertical="center" wrapText="0"/>
    </xf>
    <xf borderId="27" fillId="10" fontId="2" numFmtId="0" xfId="0" applyAlignment="1" applyBorder="1" applyFont="1">
      <alignment shrinkToFit="0" vertical="center" wrapText="0"/>
    </xf>
    <xf borderId="28" fillId="10" fontId="2" numFmtId="164" xfId="0" applyAlignment="1" applyBorder="1" applyFont="1" applyNumberFormat="1">
      <alignment shrinkToFit="0" vertical="center" wrapText="0"/>
    </xf>
    <xf borderId="29" fillId="10" fontId="2" numFmtId="0" xfId="0" applyAlignment="1" applyBorder="1" applyFont="1">
      <alignment shrinkToFit="0" vertical="center" wrapText="0"/>
    </xf>
    <xf borderId="0" fillId="0" fontId="2" numFmtId="4" xfId="0" applyAlignment="1" applyFont="1" applyNumberFormat="1">
      <alignment vertical="bottom"/>
    </xf>
    <xf borderId="0" fillId="0" fontId="5" numFmtId="0" xfId="0" applyAlignment="1" applyFont="1">
      <alignment horizontal="left" readingOrder="0" shrinkToFit="0" vertical="center" wrapText="0"/>
    </xf>
    <xf borderId="0" fillId="0" fontId="5" numFmtId="4" xfId="0" applyAlignment="1" applyFont="1" applyNumberFormat="1">
      <alignment horizontal="left" readingOrder="0" shrinkToFit="0" vertical="center" wrapText="0"/>
    </xf>
    <xf borderId="21" fillId="9" fontId="8" numFmtId="0" xfId="0" applyAlignment="1" applyBorder="1" applyFont="1">
      <alignment shrinkToFit="0" vertical="center" wrapText="0"/>
    </xf>
    <xf borderId="22" fillId="9" fontId="7" numFmtId="4" xfId="0" applyAlignment="1" applyBorder="1" applyFont="1" applyNumberFormat="1">
      <alignment horizontal="right" shrinkToFit="0" vertical="center" wrapText="0"/>
    </xf>
    <xf borderId="23" fillId="9" fontId="7" numFmtId="4" xfId="0" applyAlignment="1" applyBorder="1" applyFont="1" applyNumberFormat="1">
      <alignment horizontal="right" shrinkToFit="0" vertical="center" wrapText="0"/>
    </xf>
    <xf borderId="24" fillId="10" fontId="8" numFmtId="0" xfId="0" applyAlignment="1" applyBorder="1" applyFont="1">
      <alignment shrinkToFit="0" vertical="center" wrapText="0"/>
    </xf>
    <xf borderId="25" fillId="10" fontId="7" numFmtId="4" xfId="0" applyAlignment="1" applyBorder="1" applyFont="1" applyNumberFormat="1">
      <alignment horizontal="right" shrinkToFit="0" vertical="center" wrapText="0"/>
    </xf>
    <xf borderId="26" fillId="10" fontId="7" numFmtId="4" xfId="0" applyAlignment="1" applyBorder="1" applyFont="1" applyNumberFormat="1">
      <alignment horizontal="right" shrinkToFit="0" vertical="center" wrapText="0"/>
    </xf>
    <xf borderId="1" fillId="0" fontId="2" numFmtId="166" xfId="0" applyAlignment="1" applyBorder="1" applyFont="1" applyNumberFormat="1">
      <alignment vertical="bottom"/>
    </xf>
    <xf borderId="1" fillId="0" fontId="2" numFmtId="0" xfId="0" applyAlignment="1" applyBorder="1" applyFont="1">
      <alignment horizontal="right" vertical="bottom"/>
    </xf>
    <xf borderId="2" fillId="0" fontId="1" numFmtId="0" xfId="0" applyAlignment="1" applyBorder="1" applyFont="1">
      <alignment vertical="bottom"/>
    </xf>
    <xf borderId="2" fillId="0" fontId="2" numFmtId="4" xfId="0" applyAlignment="1" applyBorder="1" applyFont="1" applyNumberFormat="1">
      <alignment horizontal="right" vertical="bottom"/>
    </xf>
    <xf borderId="0" fillId="0" fontId="2" numFmtId="0" xfId="0" applyAlignment="1" applyFont="1">
      <alignment shrinkToFit="0" vertical="bottom" wrapText="1"/>
    </xf>
    <xf borderId="30" fillId="9" fontId="7" numFmtId="49" xfId="0" applyAlignment="1" applyBorder="1" applyFont="1" applyNumberFormat="1">
      <alignment shrinkToFit="0" vertical="center" wrapText="0"/>
    </xf>
    <xf borderId="22" fillId="9" fontId="7" numFmtId="49" xfId="0" applyAlignment="1" applyBorder="1" applyFont="1" applyNumberFormat="1">
      <alignment shrinkToFit="0" vertical="center" wrapText="0"/>
    </xf>
    <xf borderId="22" fillId="9" fontId="7" numFmtId="0" xfId="0" applyAlignment="1" applyBorder="1" applyFont="1">
      <alignment horizontal="right" shrinkToFit="0" vertical="center" wrapText="0"/>
    </xf>
    <xf borderId="22" fillId="9" fontId="2" numFmtId="0" xfId="0" applyAlignment="1" applyBorder="1" applyFont="1">
      <alignment shrinkToFit="0" vertical="center" wrapText="0"/>
    </xf>
    <xf borderId="31" fillId="9" fontId="2" numFmtId="49" xfId="0" applyAlignment="1" applyBorder="1" applyFont="1" applyNumberFormat="1">
      <alignment shrinkToFit="0" vertical="center" wrapText="0"/>
    </xf>
    <xf borderId="32" fillId="10" fontId="7" numFmtId="49" xfId="0" applyAlignment="1" applyBorder="1" applyFont="1" applyNumberFormat="1">
      <alignment shrinkToFit="0" vertical="center" wrapText="0"/>
    </xf>
    <xf borderId="25" fillId="10" fontId="7" numFmtId="49" xfId="0" applyAlignment="1" applyBorder="1" applyFont="1" applyNumberFormat="1">
      <alignment shrinkToFit="0" vertical="center" wrapText="0"/>
    </xf>
    <xf borderId="25" fillId="10" fontId="7" numFmtId="0" xfId="0" applyAlignment="1" applyBorder="1" applyFont="1">
      <alignment horizontal="right" shrinkToFit="0" vertical="center" wrapText="0"/>
    </xf>
    <xf borderId="25" fillId="10" fontId="2" numFmtId="0" xfId="0" applyAlignment="1" applyBorder="1" applyFont="1">
      <alignment shrinkToFit="0" vertical="center" wrapText="0"/>
    </xf>
    <xf borderId="33" fillId="10" fontId="2" numFmtId="49" xfId="0" applyAlignment="1" applyBorder="1" applyFont="1" applyNumberFormat="1">
      <alignment shrinkToFit="0" vertical="center" wrapText="0"/>
    </xf>
    <xf borderId="30" fillId="9" fontId="2" numFmtId="49" xfId="0" applyAlignment="1" applyBorder="1" applyFont="1" applyNumberFormat="1">
      <alignment shrinkToFit="0" vertical="center" wrapText="0"/>
    </xf>
    <xf borderId="22" fillId="9" fontId="2" numFmtId="49" xfId="0" applyAlignment="1" applyBorder="1" applyFont="1" applyNumberFormat="1">
      <alignment shrinkToFit="0" vertical="center" wrapText="0"/>
    </xf>
    <xf borderId="21" fillId="9" fontId="7" numFmtId="167" xfId="0" applyAlignment="1" applyBorder="1" applyFont="1" applyNumberFormat="1">
      <alignment horizontal="right" shrinkToFit="0" vertical="center" wrapText="0"/>
    </xf>
    <xf borderId="22" fillId="9" fontId="7" numFmtId="0" xfId="0" applyAlignment="1" applyBorder="1" applyFont="1">
      <alignment shrinkToFit="0" vertical="center" wrapText="0"/>
    </xf>
    <xf borderId="22" fillId="9" fontId="7" numFmtId="168" xfId="0" applyAlignment="1" applyBorder="1" applyFont="1" applyNumberFormat="1">
      <alignment horizontal="right" shrinkToFit="0" vertical="center" wrapText="0"/>
    </xf>
    <xf borderId="22" fillId="9" fontId="2" numFmtId="9" xfId="0" applyAlignment="1" applyBorder="1" applyFont="1" applyNumberFormat="1">
      <alignment shrinkToFit="0" vertical="center" wrapText="0"/>
    </xf>
    <xf borderId="22" fillId="9" fontId="7" numFmtId="0" xfId="0" applyAlignment="1" applyBorder="1" applyFont="1">
      <alignment horizontal="right" shrinkToFit="0" vertical="center" wrapText="0"/>
    </xf>
    <xf borderId="22" fillId="9" fontId="7" numFmtId="0" xfId="0" applyAlignment="1" applyBorder="1" applyFont="1">
      <alignment horizontal="right" shrinkToFit="0" vertical="center" wrapText="0"/>
    </xf>
    <xf borderId="22" fillId="9" fontId="2" numFmtId="0" xfId="0" applyAlignment="1" applyBorder="1" applyFont="1">
      <alignment shrinkToFit="0" vertical="center" wrapText="0"/>
    </xf>
    <xf borderId="22" fillId="9" fontId="2" numFmtId="0" xfId="0" applyAlignment="1" applyBorder="1" applyFont="1">
      <alignment shrinkToFit="0" vertical="center" wrapText="0"/>
    </xf>
    <xf borderId="23" fillId="9" fontId="7" numFmtId="0" xfId="0" applyAlignment="1" applyBorder="1" applyFont="1">
      <alignment horizontal="right" shrinkToFit="0" vertical="center" wrapText="0"/>
    </xf>
    <xf borderId="24" fillId="10" fontId="7" numFmtId="167" xfId="0" applyAlignment="1" applyBorder="1" applyFont="1" applyNumberFormat="1">
      <alignment horizontal="right" shrinkToFit="0" vertical="center" wrapText="0"/>
    </xf>
    <xf borderId="25" fillId="10" fontId="7" numFmtId="0" xfId="0" applyAlignment="1" applyBorder="1" applyFont="1">
      <alignment shrinkToFit="0" vertical="center" wrapText="0"/>
    </xf>
    <xf borderId="25" fillId="10" fontId="7" numFmtId="168" xfId="0" applyAlignment="1" applyBorder="1" applyFont="1" applyNumberFormat="1">
      <alignment horizontal="right" shrinkToFit="0" vertical="center" wrapText="0"/>
    </xf>
    <xf borderId="25" fillId="10" fontId="2" numFmtId="9" xfId="0" applyAlignment="1" applyBorder="1" applyFont="1" applyNumberFormat="1">
      <alignment shrinkToFit="0" vertical="center" wrapText="0"/>
    </xf>
    <xf borderId="25" fillId="10" fontId="7" numFmtId="0" xfId="0" applyAlignment="1" applyBorder="1" applyFont="1">
      <alignment horizontal="right" shrinkToFit="0" vertical="center" wrapText="0"/>
    </xf>
    <xf borderId="25" fillId="10" fontId="7" numFmtId="0" xfId="0" applyAlignment="1" applyBorder="1" applyFont="1">
      <alignment horizontal="right" shrinkToFit="0" vertical="center" wrapText="0"/>
    </xf>
    <xf borderId="25" fillId="10" fontId="2" numFmtId="0" xfId="0" applyAlignment="1" applyBorder="1" applyFont="1">
      <alignment shrinkToFit="0" vertical="center" wrapText="0"/>
    </xf>
    <xf borderId="25" fillId="10" fontId="2" numFmtId="0" xfId="0" applyAlignment="1" applyBorder="1" applyFont="1">
      <alignment shrinkToFit="0" vertical="center" wrapText="0"/>
    </xf>
    <xf borderId="26" fillId="10" fontId="7" numFmtId="0" xfId="0" applyAlignment="1" applyBorder="1" applyFont="1">
      <alignment horizontal="right" shrinkToFit="0" vertical="center" wrapText="0"/>
    </xf>
    <xf borderId="22" fillId="9" fontId="9" numFmtId="0" xfId="0" applyAlignment="1" applyBorder="1" applyFont="1">
      <alignment horizontal="right" shrinkToFit="0" vertical="center" wrapText="0"/>
    </xf>
    <xf borderId="22" fillId="9" fontId="9" numFmtId="9" xfId="0" applyAlignment="1" applyBorder="1" applyFont="1" applyNumberFormat="1">
      <alignment horizontal="right" shrinkToFit="0" vertical="center" wrapText="0"/>
    </xf>
    <xf borderId="22" fillId="9" fontId="9" numFmtId="0" xfId="0" applyAlignment="1" applyBorder="1" applyFont="1">
      <alignment horizontal="right" shrinkToFit="0" vertical="center" wrapText="0"/>
    </xf>
    <xf borderId="22" fillId="9" fontId="9" numFmtId="0" xfId="0" applyAlignment="1" applyBorder="1" applyFont="1">
      <alignment shrinkToFit="0" vertical="center" wrapText="0"/>
    </xf>
    <xf borderId="25" fillId="10" fontId="9" numFmtId="0" xfId="0" applyAlignment="1" applyBorder="1" applyFont="1">
      <alignment horizontal="right" shrinkToFit="0" vertical="center" wrapText="0"/>
    </xf>
    <xf borderId="25" fillId="10" fontId="9" numFmtId="0" xfId="0" applyAlignment="1" applyBorder="1" applyFont="1">
      <alignment shrinkToFit="0" vertical="center" wrapText="1"/>
    </xf>
    <xf borderId="22" fillId="9" fontId="9" numFmtId="0" xfId="0" applyAlignment="1" applyBorder="1" applyFont="1">
      <alignment shrinkToFit="0" vertical="center" wrapText="1"/>
    </xf>
    <xf borderId="34" fillId="0" fontId="1" numFmtId="0" xfId="0" applyAlignment="1" applyBorder="1" applyFont="1">
      <alignment vertical="bottom"/>
    </xf>
    <xf borderId="35" fillId="0" fontId="10" numFmtId="0" xfId="0" applyBorder="1" applyFont="1"/>
    <xf borderId="36" fillId="0" fontId="2" numFmtId="0" xfId="0" applyAlignment="1" applyBorder="1" applyFont="1">
      <alignment horizontal="right" vertical="bottom"/>
    </xf>
    <xf borderId="18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37" fillId="0" fontId="2" numFmtId="0" xfId="0" applyAlignment="1" applyBorder="1" applyFont="1">
      <alignment vertical="bottom"/>
    </xf>
    <xf borderId="38" fillId="0" fontId="1" numFmtId="0" xfId="0" applyAlignment="1" applyBorder="1" applyFont="1">
      <alignment vertical="bottom"/>
    </xf>
    <xf borderId="2" fillId="11" fontId="11" numFmtId="0" xfId="0" applyAlignment="1" applyBorder="1" applyFill="1" applyFont="1">
      <alignment horizontal="center" vertical="bottom"/>
    </xf>
    <xf borderId="39" fillId="11" fontId="11" numFmtId="0" xfId="0" applyAlignment="1" applyBorder="1" applyFont="1">
      <alignment horizontal="center" vertical="bottom"/>
    </xf>
    <xf borderId="40" fillId="0" fontId="10" numFmtId="0" xfId="0" applyBorder="1" applyFont="1"/>
    <xf borderId="37" fillId="0" fontId="10" numFmtId="0" xfId="0" applyBorder="1" applyFont="1"/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bottom"/>
    </xf>
    <xf borderId="41" fillId="0" fontId="2" numFmtId="0" xfId="0" applyAlignment="1" applyBorder="1" applyFont="1">
      <alignment horizontal="right" vertical="bottom"/>
    </xf>
    <xf borderId="41" fillId="0" fontId="2" numFmtId="0" xfId="0" applyAlignment="1" applyBorder="1" applyFont="1">
      <alignment vertical="bottom"/>
    </xf>
    <xf borderId="2" fillId="0" fontId="2" numFmtId="167" xfId="0" applyAlignment="1" applyBorder="1" applyFont="1" applyNumberFormat="1">
      <alignment horizontal="right" vertical="bottom"/>
    </xf>
    <xf borderId="10" fillId="0" fontId="12" numFmtId="0" xfId="0" applyAlignment="1" applyBorder="1" applyFont="1">
      <alignment vertical="bottom"/>
    </xf>
    <xf borderId="10" fillId="0" fontId="12" numFmtId="0" xfId="0" applyAlignment="1" applyBorder="1" applyFont="1">
      <alignment horizontal="center" vertical="bottom"/>
    </xf>
    <xf borderId="10" fillId="0" fontId="2" numFmtId="0" xfId="0" applyAlignment="1" applyBorder="1" applyFont="1">
      <alignment vertical="bottom"/>
    </xf>
    <xf borderId="42" fillId="0" fontId="12" numFmtId="0" xfId="0" applyAlignment="1" applyBorder="1" applyFont="1">
      <alignment horizontal="center" vertical="bottom"/>
    </xf>
    <xf borderId="42" fillId="0" fontId="2" numFmtId="0" xfId="0" applyAlignment="1" applyBorder="1" applyFont="1">
      <alignment vertical="bottom"/>
    </xf>
    <xf borderId="42" fillId="0" fontId="2" numFmtId="0" xfId="0" applyAlignment="1" applyBorder="1" applyFont="1">
      <alignment horizontal="right" vertical="bottom"/>
    </xf>
    <xf borderId="2" fillId="0" fontId="2" numFmtId="167" xfId="0" applyAlignment="1" applyBorder="1" applyFont="1" applyNumberFormat="1">
      <alignment vertical="bottom"/>
    </xf>
    <xf borderId="10" fillId="0" fontId="2" numFmtId="0" xfId="0" applyAlignment="1" applyBorder="1" applyFont="1">
      <alignment horizontal="right" vertical="bottom"/>
    </xf>
    <xf borderId="0" fillId="0" fontId="6" numFmtId="0" xfId="0" applyAlignment="1" applyFont="1">
      <alignment horizontal="left" readingOrder="0" shrinkToFit="0" vertical="center" wrapText="0"/>
    </xf>
    <xf borderId="43" fillId="9" fontId="7" numFmtId="49" xfId="0" applyAlignment="1" applyBorder="1" applyFont="1" applyNumberFormat="1">
      <alignment shrinkToFit="0" vertical="center" wrapText="0"/>
    </xf>
    <xf borderId="22" fillId="9" fontId="7" numFmtId="0" xfId="0" applyAlignment="1" applyBorder="1" applyFont="1">
      <alignment horizontal="right" readingOrder="0" shrinkToFit="0" vertical="center" wrapText="0"/>
    </xf>
    <xf borderId="22" fillId="9" fontId="13" numFmtId="0" xfId="0" applyAlignment="1" applyBorder="1" applyFont="1">
      <alignment shrinkToFit="0" vertical="center" wrapText="0"/>
    </xf>
    <xf borderId="22" fillId="9" fontId="7" numFmtId="0" xfId="0" applyAlignment="1" applyBorder="1" applyFont="1">
      <alignment readingOrder="0" shrinkToFit="0" vertical="center" wrapText="0"/>
    </xf>
    <xf borderId="22" fillId="9" fontId="7" numFmtId="167" xfId="0" applyAlignment="1" applyBorder="1" applyFont="1" applyNumberFormat="1">
      <alignment horizontal="right" shrinkToFit="0" vertical="center" wrapText="0"/>
    </xf>
    <xf borderId="22" fillId="9" fontId="2" numFmtId="167" xfId="0" applyAlignment="1" applyBorder="1" applyFont="1" applyNumberFormat="1">
      <alignment shrinkToFit="0" vertical="center" wrapText="0"/>
    </xf>
    <xf borderId="22" fillId="9" fontId="7" numFmtId="0" xfId="0" applyAlignment="1" applyBorder="1" applyFont="1">
      <alignment horizontal="right" readingOrder="0" shrinkToFit="0" vertical="center" wrapText="0"/>
    </xf>
    <xf borderId="22" fillId="9" fontId="2" numFmtId="0" xfId="0" applyAlignment="1" applyBorder="1" applyFont="1">
      <alignment shrinkToFit="0" vertical="center" wrapText="0"/>
    </xf>
    <xf borderId="44" fillId="9" fontId="2" numFmtId="0" xfId="0" applyAlignment="1" applyBorder="1" applyFont="1">
      <alignment shrinkToFit="0" vertical="center" wrapText="0"/>
    </xf>
    <xf borderId="45" fillId="10" fontId="7" numFmtId="49" xfId="0" applyAlignment="1" applyBorder="1" applyFont="1" applyNumberFormat="1">
      <alignment shrinkToFit="0" vertical="center" wrapText="0"/>
    </xf>
    <xf borderId="25" fillId="10" fontId="7" numFmtId="0" xfId="0" applyAlignment="1" applyBorder="1" applyFont="1">
      <alignment horizontal="right" readingOrder="0" shrinkToFit="0" vertical="center" wrapText="0"/>
    </xf>
    <xf borderId="25" fillId="10" fontId="13" numFmtId="0" xfId="0" applyAlignment="1" applyBorder="1" applyFont="1">
      <alignment shrinkToFit="0" vertical="center" wrapText="0"/>
    </xf>
    <xf borderId="25" fillId="10" fontId="7" numFmtId="167" xfId="0" applyAlignment="1" applyBorder="1" applyFont="1" applyNumberFormat="1">
      <alignment horizontal="right" shrinkToFit="0" vertical="center" wrapText="0"/>
    </xf>
    <xf borderId="25" fillId="10" fontId="2" numFmtId="167" xfId="0" applyAlignment="1" applyBorder="1" applyFont="1" applyNumberFormat="1">
      <alignment shrinkToFit="0" vertical="center" wrapText="0"/>
    </xf>
    <xf borderId="25" fillId="10" fontId="7" numFmtId="0" xfId="0" applyAlignment="1" applyBorder="1" applyFont="1">
      <alignment horizontal="right" readingOrder="0" shrinkToFit="0" vertical="center" wrapText="0"/>
    </xf>
    <xf borderId="25" fillId="10" fontId="2" numFmtId="49" xfId="0" applyAlignment="1" applyBorder="1" applyFont="1" applyNumberFormat="1">
      <alignment shrinkToFit="0" vertical="center" wrapText="0"/>
    </xf>
    <xf borderId="25" fillId="10" fontId="2" numFmtId="0" xfId="0" applyAlignment="1" applyBorder="1" applyFont="1">
      <alignment shrinkToFit="0" vertical="center" wrapText="0"/>
    </xf>
    <xf borderId="46" fillId="10" fontId="2" numFmtId="0" xfId="0" applyAlignment="1" applyBorder="1" applyFont="1">
      <alignment shrinkToFit="0" vertical="center" wrapText="0"/>
    </xf>
    <xf borderId="44" fillId="9" fontId="7" numFmtId="0" xfId="0" applyAlignment="1" applyBorder="1" applyFont="1">
      <alignment shrinkToFit="0" vertical="center" wrapText="0"/>
    </xf>
    <xf borderId="46" fillId="10" fontId="7" numFmtId="0" xfId="0" applyAlignment="1" applyBorder="1" applyFont="1">
      <alignment shrinkToFit="0" vertical="center" wrapText="0"/>
    </xf>
    <xf borderId="43" fillId="9" fontId="7" numFmtId="0" xfId="0" applyAlignment="1" applyBorder="1" applyFont="1">
      <alignment horizontal="right" shrinkToFit="0" vertical="center" wrapText="0"/>
    </xf>
    <xf borderId="22" fillId="9" fontId="7" numFmtId="49" xfId="0" applyAlignment="1" applyBorder="1" applyFont="1" applyNumberFormat="1">
      <alignment shrinkToFit="0" vertical="center" wrapText="1"/>
    </xf>
    <xf borderId="45" fillId="10" fontId="7" numFmtId="0" xfId="0" applyAlignment="1" applyBorder="1" applyFont="1">
      <alignment horizontal="right" shrinkToFit="0" vertical="center" wrapText="0"/>
    </xf>
    <xf borderId="25" fillId="10" fontId="7" numFmtId="49" xfId="0" applyAlignment="1" applyBorder="1" applyFont="1" applyNumberFormat="1">
      <alignment shrinkToFit="0" vertical="center" wrapText="1"/>
    </xf>
    <xf borderId="0" fillId="12" fontId="14" numFmtId="0" xfId="0" applyAlignment="1" applyFill="1" applyFont="1">
      <alignment readingOrder="0"/>
    </xf>
    <xf borderId="0" fillId="12" fontId="14" numFmtId="0" xfId="0" applyFont="1"/>
    <xf borderId="47" fillId="0" fontId="1" numFmtId="0" xfId="0" applyAlignment="1" applyBorder="1" applyFont="1">
      <alignment shrinkToFit="0" vertical="bottom" wrapText="1"/>
    </xf>
    <xf borderId="11" fillId="0" fontId="10" numFmtId="0" xfId="0" applyBorder="1" applyFont="1"/>
    <xf borderId="0" fillId="9" fontId="2" numFmtId="0" xfId="0" applyAlignment="1" applyFont="1">
      <alignment vertical="bottom"/>
    </xf>
    <xf borderId="0" fillId="9" fontId="2" numFmtId="4" xfId="0" applyAlignment="1" applyFont="1" applyNumberFormat="1">
      <alignment vertical="bottom"/>
    </xf>
    <xf borderId="1" fillId="0" fontId="1" numFmtId="0" xfId="0" applyAlignment="1" applyBorder="1" applyFont="1">
      <alignment vertical="bottom"/>
    </xf>
    <xf borderId="1" fillId="0" fontId="1" numFmtId="4" xfId="0" applyAlignment="1" applyBorder="1" applyFont="1" applyNumberFormat="1">
      <alignment vertical="bottom"/>
    </xf>
    <xf borderId="47" fillId="0" fontId="1" numFmtId="164" xfId="0" applyAlignment="1" applyBorder="1" applyFont="1" applyNumberFormat="1">
      <alignment horizontal="right" vertical="bottom"/>
    </xf>
    <xf borderId="48" fillId="0" fontId="2" numFmtId="4" xfId="0" applyAlignment="1" applyBorder="1" applyFont="1" applyNumberForma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4" xfId="0" applyAlignment="1" applyBorder="1" applyFont="1" applyNumberFormat="1">
      <alignment horizontal="right" readingOrder="0" vertical="bottom"/>
    </xf>
    <xf borderId="1" fillId="0" fontId="2" numFmtId="164" xfId="0" applyAlignment="1" applyBorder="1" applyFont="1" applyNumberFormat="1">
      <alignment horizontal="right" vertical="bottom"/>
    </xf>
    <xf borderId="47" fillId="0" fontId="2" numFmtId="164" xfId="0" applyAlignment="1" applyBorder="1" applyFont="1" applyNumberFormat="1">
      <alignment horizontal="right" vertical="bottom"/>
    </xf>
    <xf borderId="48" fillId="0" fontId="2" numFmtId="0" xfId="0" applyAlignment="1" applyBorder="1" applyFont="1">
      <alignment vertical="bottom"/>
    </xf>
    <xf borderId="0" fillId="0" fontId="5" numFmtId="4" xfId="0" applyAlignment="1" applyFont="1" applyNumberFormat="1">
      <alignment horizontal="left" readingOrder="0" shrinkToFit="0" vertical="center" wrapText="1"/>
    </xf>
    <xf borderId="43" fillId="9" fontId="7" numFmtId="164" xfId="0" applyAlignment="1" applyBorder="1" applyFont="1" applyNumberFormat="1">
      <alignment horizontal="right" shrinkToFit="0" vertical="center" wrapText="0"/>
    </xf>
    <xf borderId="22" fillId="9" fontId="15" numFmtId="0" xfId="0" applyAlignment="1" applyBorder="1" applyFont="1">
      <alignment shrinkToFit="0" vertical="center" wrapText="0"/>
    </xf>
    <xf borderId="44" fillId="9" fontId="2" numFmtId="49" xfId="0" applyAlignment="1" applyBorder="1" applyFont="1" applyNumberFormat="1">
      <alignment shrinkToFit="0" vertical="center" wrapText="0"/>
    </xf>
    <xf borderId="1" fillId="0" fontId="2" numFmtId="164" xfId="0" applyAlignment="1" applyBorder="1" applyFont="1" applyNumberFormat="1">
      <alignment readingOrder="0" vertical="bottom"/>
    </xf>
    <xf borderId="45" fillId="10" fontId="7" numFmtId="164" xfId="0" applyAlignment="1" applyBorder="1" applyFont="1" applyNumberFormat="1">
      <alignment horizontal="right" shrinkToFit="0" vertical="center" wrapText="0"/>
    </xf>
    <xf borderId="25" fillId="10" fontId="15" numFmtId="0" xfId="0" applyAlignment="1" applyBorder="1" applyFont="1">
      <alignment shrinkToFit="0" vertical="center" wrapText="0"/>
    </xf>
    <xf borderId="46" fillId="10" fontId="2" numFmtId="49" xfId="0" applyAlignment="1" applyBorder="1" applyFont="1" applyNumberFormat="1">
      <alignment shrinkToFit="0" vertical="center" wrapText="0"/>
    </xf>
    <xf borderId="1" fillId="0" fontId="2" numFmtId="164" xfId="0" applyAlignment="1" applyBorder="1" applyFont="1" applyNumberFormat="1">
      <alignment vertical="bottom"/>
    </xf>
    <xf borderId="43" fillId="9" fontId="2" numFmtId="164" xfId="0" applyAlignment="1" applyBorder="1" applyFont="1" applyNumberFormat="1">
      <alignment shrinkToFit="0" vertical="center" wrapText="0"/>
    </xf>
    <xf borderId="49" fillId="9" fontId="2" numFmtId="167" xfId="0" applyAlignment="1" applyBorder="1" applyFont="1" applyNumberFormat="1">
      <alignment shrinkToFit="0" vertical="center" wrapText="0"/>
    </xf>
    <xf borderId="22" fillId="9" fontId="16" numFmtId="0" xfId="0" applyAlignment="1" applyBorder="1" applyFont="1">
      <alignment shrinkToFit="0" vertical="center" wrapText="0"/>
    </xf>
    <xf borderId="50" fillId="9" fontId="2" numFmtId="49" xfId="0" applyAlignment="1" applyBorder="1" applyFont="1" applyNumberFormat="1">
      <alignment shrinkToFit="0" vertical="center" wrapText="0"/>
    </xf>
    <xf borderId="51" fillId="10" fontId="2" numFmtId="167" xfId="0" applyAlignment="1" applyBorder="1" applyFont="1" applyNumberFormat="1">
      <alignment shrinkToFit="0" vertical="center" wrapText="0"/>
    </xf>
    <xf borderId="25" fillId="10" fontId="17" numFmtId="0" xfId="0" applyAlignment="1" applyBorder="1" applyFont="1">
      <alignment shrinkToFit="0" vertical="center" wrapText="0"/>
    </xf>
    <xf borderId="52" fillId="10" fontId="2" numFmtId="49" xfId="0" applyAlignment="1" applyBorder="1" applyFont="1" applyNumberFormat="1">
      <alignment shrinkToFit="0" vertical="center" wrapText="0"/>
    </xf>
    <xf borderId="49" fillId="9" fontId="7" numFmtId="167" xfId="0" applyAlignment="1" applyBorder="1" applyFont="1" applyNumberFormat="1">
      <alignment horizontal="right" shrinkToFit="0" vertical="center" wrapText="0"/>
    </xf>
    <xf borderId="50" fillId="9" fontId="7" numFmtId="49" xfId="0" applyAlignment="1" applyBorder="1" applyFont="1" applyNumberFormat="1">
      <alignment shrinkToFit="0" vertical="center" wrapText="0"/>
    </xf>
    <xf borderId="1" fillId="0" fontId="2" numFmtId="0" xfId="0" applyAlignment="1" applyBorder="1" applyFont="1">
      <alignment horizontal="right" vertical="bottom"/>
    </xf>
    <xf borderId="43" fillId="9" fontId="7" numFmtId="167" xfId="0" applyAlignment="1" applyBorder="1" applyFont="1" applyNumberFormat="1">
      <alignment horizontal="right" shrinkToFit="0" vertical="center" wrapText="0"/>
    </xf>
    <xf borderId="22" fillId="9" fontId="18" numFmtId="0" xfId="0" applyAlignment="1" applyBorder="1" applyFont="1">
      <alignment shrinkToFit="0" vertical="center" wrapText="0"/>
    </xf>
    <xf borderId="45" fillId="10" fontId="7" numFmtId="167" xfId="0" applyAlignment="1" applyBorder="1" applyFont="1" applyNumberFormat="1">
      <alignment horizontal="right" shrinkToFit="0" vertical="center" wrapText="0"/>
    </xf>
    <xf borderId="25" fillId="10" fontId="18" numFmtId="0" xfId="0" applyAlignment="1" applyBorder="1" applyFont="1">
      <alignment shrinkToFit="0" vertical="center" wrapText="0"/>
    </xf>
    <xf borderId="22" fillId="9" fontId="19" numFmtId="0" xfId="0" applyAlignment="1" applyBorder="1" applyFont="1">
      <alignment shrinkToFit="0" vertical="center" wrapText="0"/>
    </xf>
    <xf borderId="25" fillId="10" fontId="19" numFmtId="0" xfId="0" applyAlignment="1" applyBorder="1" applyFont="1">
      <alignment shrinkToFit="0" vertical="center" wrapText="0"/>
    </xf>
    <xf borderId="21" fillId="9" fontId="7" numFmtId="49" xfId="0" applyAlignment="1" applyBorder="1" applyFont="1" applyNumberFormat="1">
      <alignment shrinkToFit="0" vertical="center" wrapText="0"/>
    </xf>
    <xf borderId="22" fillId="9" fontId="20" numFmtId="0" xfId="0" applyAlignment="1" applyBorder="1" applyFont="1">
      <alignment readingOrder="0" shrinkToFit="0" vertical="center" wrapText="0"/>
    </xf>
    <xf borderId="22" fillId="9" fontId="21" numFmtId="0" xfId="0" applyAlignment="1" applyBorder="1" applyFont="1">
      <alignment readingOrder="0" shrinkToFit="0" vertical="center" wrapText="0"/>
    </xf>
    <xf borderId="22" fillId="9" fontId="22" numFmtId="0" xfId="0" applyAlignment="1" applyBorder="1" applyFont="1">
      <alignment shrinkToFit="0" vertical="center" wrapText="0"/>
    </xf>
    <xf borderId="53" fillId="13" fontId="8" numFmtId="49" xfId="0" applyAlignment="1" applyBorder="1" applyFill="1" applyFont="1" applyNumberFormat="1">
      <alignment shrinkToFit="0" vertical="center" wrapText="0"/>
    </xf>
    <xf borderId="54" fillId="13" fontId="8" numFmtId="165" xfId="0" applyAlignment="1" applyBorder="1" applyFont="1" applyNumberFormat="1">
      <alignment horizontal="right" shrinkToFit="0" vertical="center" wrapText="0"/>
    </xf>
    <xf borderId="25" fillId="10" fontId="20" numFmtId="0" xfId="0" applyAlignment="1" applyBorder="1" applyFont="1">
      <alignment shrinkToFit="0" vertical="center" wrapText="0"/>
    </xf>
    <xf borderId="25" fillId="10" fontId="21" numFmtId="0" xfId="0" applyAlignment="1" applyBorder="1" applyFont="1">
      <alignment shrinkToFit="0" vertical="center" wrapText="0"/>
    </xf>
    <xf borderId="25" fillId="10" fontId="22" numFmtId="0" xfId="0" applyAlignment="1" applyBorder="1" applyFont="1">
      <alignment shrinkToFit="0" vertical="center" wrapText="0"/>
    </xf>
    <xf borderId="30" fillId="9" fontId="7" numFmtId="167" xfId="0" applyAlignment="1" applyBorder="1" applyFont="1" applyNumberFormat="1">
      <alignment horizontal="right" shrinkToFit="0" vertical="center" wrapText="0"/>
    </xf>
    <xf borderId="22" fillId="9" fontId="21" numFmtId="0" xfId="0" applyAlignment="1" applyBorder="1" applyFont="1">
      <alignment shrinkToFit="0" vertical="center" wrapText="0"/>
    </xf>
    <xf borderId="31" fillId="9" fontId="7" numFmtId="0" xfId="0" applyAlignment="1" applyBorder="1" applyFont="1">
      <alignment horizontal="right" shrinkToFit="0" vertical="center" wrapText="0"/>
    </xf>
    <xf borderId="32" fillId="10" fontId="7" numFmtId="167" xfId="0" applyAlignment="1" applyBorder="1" applyFont="1" applyNumberFormat="1">
      <alignment horizontal="right" shrinkToFit="0" vertical="center" wrapText="0"/>
    </xf>
    <xf borderId="33" fillId="10" fontId="7" numFmtId="0" xfId="0" applyAlignment="1" applyBorder="1" applyFont="1">
      <alignment horizontal="right" shrinkToFit="0" vertical="center" wrapText="0"/>
    </xf>
    <xf borderId="43" fillId="9" fontId="9" numFmtId="167" xfId="0" applyAlignment="1" applyBorder="1" applyFont="1" applyNumberFormat="1">
      <alignment horizontal="right" shrinkToFit="0" vertical="center" wrapText="0"/>
    </xf>
    <xf borderId="45" fillId="10" fontId="9" numFmtId="167" xfId="0" applyAlignment="1" applyBorder="1" applyFont="1" applyNumberFormat="1">
      <alignment horizontal="right" shrinkToFit="0" vertical="center" wrapText="0"/>
    </xf>
    <xf borderId="46" fillId="10" fontId="9" numFmtId="49" xfId="0" applyAlignment="1" applyBorder="1" applyFont="1" applyNumberFormat="1">
      <alignment shrinkToFit="0" vertical="center" wrapText="0"/>
    </xf>
    <xf borderId="55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9" fillId="0" fontId="2" numFmtId="0" xfId="0" applyAlignment="1" applyBorder="1" applyFont="1">
      <alignment horizontal="center" vertical="bottom"/>
    </xf>
    <xf borderId="22" fillId="9" fontId="23" numFmtId="0" xfId="0" applyAlignment="1" applyBorder="1" applyFont="1">
      <alignment shrinkToFit="0" vertical="center" wrapText="0"/>
    </xf>
    <xf borderId="44" fillId="9" fontId="9" numFmtId="49" xfId="0" applyAlignment="1" applyBorder="1" applyFont="1" applyNumberFormat="1">
      <alignment shrinkToFit="0" vertical="center" wrapText="0"/>
    </xf>
    <xf borderId="56" fillId="0" fontId="2" numFmtId="4" xfId="0" applyAlignment="1" applyBorder="1" applyFont="1" applyNumberFormat="1">
      <alignment horizontal="center" vertical="bottom"/>
    </xf>
    <xf borderId="57" fillId="0" fontId="10" numFmtId="0" xfId="0" applyBorder="1" applyFont="1"/>
    <xf borderId="39" fillId="0" fontId="2" numFmtId="4" xfId="0" applyAlignment="1" applyBorder="1" applyFont="1" applyNumberFormat="1">
      <alignment horizontal="center" vertical="bottom"/>
    </xf>
    <xf borderId="40" fillId="0" fontId="2" numFmtId="4" xfId="0" applyAlignment="1" applyBorder="1" applyFont="1" applyNumberFormat="1">
      <alignment horizontal="center" vertical="bottom"/>
    </xf>
    <xf borderId="40" fillId="0" fontId="2" numFmtId="4" xfId="0" applyAlignment="1" applyBorder="1" applyFont="1" applyNumberFormat="1">
      <alignment horizontal="center" shrinkToFit="0" vertical="bottom" wrapText="1"/>
    </xf>
    <xf borderId="39" fillId="0" fontId="2" numFmtId="0" xfId="0" applyAlignment="1" applyBorder="1" applyFont="1">
      <alignment vertical="bottom"/>
    </xf>
    <xf borderId="40" fillId="0" fontId="2" numFmtId="0" xfId="0" applyAlignment="1" applyBorder="1" applyFont="1">
      <alignment vertical="bottom"/>
    </xf>
    <xf borderId="58" fillId="0" fontId="2" numFmtId="0" xfId="0" applyAlignment="1" applyBorder="1" applyFont="1">
      <alignment vertical="bottom"/>
    </xf>
    <xf borderId="40" fillId="0" fontId="2" numFmtId="0" xfId="0" applyAlignment="1" applyBorder="1" applyFont="1">
      <alignment horizontal="right" vertical="bottom"/>
    </xf>
    <xf borderId="22" fillId="9" fontId="9" numFmtId="0" xfId="0" applyAlignment="1" applyBorder="1" applyFont="1">
      <alignment shrinkToFit="0" vertical="center" wrapText="0"/>
    </xf>
    <xf borderId="22" fillId="9" fontId="24" numFmtId="0" xfId="0" applyAlignment="1" applyBorder="1" applyFont="1">
      <alignment shrinkToFit="0" vertical="center" wrapText="0"/>
    </xf>
    <xf borderId="22" fillId="9" fontId="9" numFmtId="0" xfId="0" applyAlignment="1" applyBorder="1" applyFont="1">
      <alignment horizontal="right" readingOrder="0" shrinkToFit="0" vertical="center" wrapText="0"/>
    </xf>
    <xf borderId="0" fillId="0" fontId="25" numFmtId="0" xfId="0" applyFont="1"/>
    <xf borderId="22" fillId="9" fontId="7" numFmtId="0" xfId="0" applyAlignment="1" applyBorder="1" applyFont="1">
      <alignment shrinkToFit="0" vertical="center" wrapText="0"/>
    </xf>
    <xf borderId="59" fillId="14" fontId="7" numFmtId="0" xfId="0" applyAlignment="1" applyBorder="1" applyFill="1" applyFont="1">
      <alignment horizontal="right" shrinkToFit="0" vertical="center" wrapText="0"/>
    </xf>
    <xf borderId="31" fillId="9" fontId="2" numFmtId="0" xfId="0" applyAlignment="1" applyBorder="1" applyFont="1">
      <alignment shrinkToFit="0" vertical="center" wrapText="0"/>
    </xf>
    <xf borderId="25" fillId="10" fontId="7" numFmtId="0" xfId="0" applyAlignment="1" applyBorder="1" applyFont="1">
      <alignment shrinkToFit="0" vertical="center" wrapText="0"/>
    </xf>
    <xf borderId="33" fillId="10" fontId="2" numFmtId="0" xfId="0" applyAlignment="1" applyBorder="1" applyFont="1">
      <alignment shrinkToFit="0" vertical="center" wrapText="0"/>
    </xf>
    <xf borderId="22" fillId="9" fontId="7" numFmtId="164" xfId="0" applyAlignment="1" applyBorder="1" applyFont="1" applyNumberFormat="1">
      <alignment horizontal="right" shrinkToFit="0" vertical="center" wrapText="0"/>
    </xf>
    <xf borderId="31" fillId="9" fontId="7" numFmtId="0" xfId="0" applyAlignment="1" applyBorder="1" applyFont="1">
      <alignment shrinkToFit="0" vertical="center" wrapText="0"/>
    </xf>
    <xf borderId="33" fillId="10" fontId="7" numFmtId="0" xfId="0" applyAlignment="1" applyBorder="1" applyFont="1">
      <alignment shrinkToFit="0" vertical="center" wrapText="1"/>
    </xf>
    <xf borderId="31" fillId="9" fontId="7" numFmtId="0" xfId="0" applyAlignment="1" applyBorder="1" applyFont="1">
      <alignment shrinkToFit="0" vertical="center" wrapText="1"/>
    </xf>
    <xf borderId="33" fillId="10" fontId="7" numFmtId="0" xfId="0" applyAlignment="1" applyBorder="1" applyFon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</dxfs>
  <tableStyles count="17">
    <tableStyle count="4" pivot="0" name="Flujo de caj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lujo de caj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lujo de caja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lujo de caja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ol stock hacienda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Venta gran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nta haciend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ol de cheques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Gastossueldos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Gastossueldos-style 2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Gastossueldos-style 3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PyME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uentas corrien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ol efectivo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ontrol efectivo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ontrol efectivo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Hojas de viajes camioneros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2:C46" displayName="Tabla_1" name="Tabla_1" id="1">
  <tableColumns count="3">
    <tableColumn name="PERÍODO" id="1"/>
    <tableColumn name="MONTO" id="2"/>
    <tableColumn name="TIPO DE INGRESO" id="3"/>
  </tableColumns>
  <tableStyleInfo name="Flujo de caja-style" showColumnStripes="0" showFirstColumn="1" showLastColumn="1" showRowStripes="1"/>
</table>
</file>

<file path=xl/tables/table2.xml><?xml version="1.0" encoding="utf-8"?>
<table xmlns="http://schemas.openxmlformats.org/spreadsheetml/2006/main" ref="E32:G43" displayName="Tabla_2" name="Tabla_2" id="2">
  <tableColumns count="3">
    <tableColumn name="PERÍODO" id="1"/>
    <tableColumn name="MONTO" id="2"/>
    <tableColumn name="TIPO DE EGRESO" id="3"/>
  </tableColumns>
  <tableStyleInfo name="Flujo de caja-style 2" showColumnStripes="0" showFirstColumn="1" showLastColumn="1" showRowStripes="1"/>
</table>
</file>

<file path=xl/tables/table3.xml><?xml version="1.0" encoding="utf-8"?>
<table xmlns="http://schemas.openxmlformats.org/spreadsheetml/2006/main" ref="A51:I56" displayName="Tabla_3" name="Tabla_3" id="3">
  <tableColumns count="9">
    <tableColumn name="PERIODO" id="1"/>
    <tableColumn name="GRANOS" id="2"/>
    <tableColumn name="HACIENDA" id="3"/>
    <tableColumn name="FLETES" id="4"/>
    <tableColumn name="PYME" id="5"/>
    <tableColumn name="CREDITO" id="6"/>
    <tableColumn name="CHEQUES" id="7"/>
    <tableColumn name="OTRAS VENTAS" id="8"/>
    <tableColumn name="OTROS INGRESOS" id="9"/>
  </tableColumns>
  <tableStyleInfo name="Flujo de caja-style 3" showColumnStripes="0" showFirstColumn="1" showLastColumn="1" showRowStripes="1"/>
</table>
</file>

<file path=xl/tables/table4.xml><?xml version="1.0" encoding="utf-8"?>
<table xmlns="http://schemas.openxmlformats.org/spreadsheetml/2006/main" ref="L51:U56" displayName="Tabla_4" name="Tabla_4" id="4">
  <tableColumns count="10">
    <tableColumn name="PERIODO" id="1"/>
    <tableColumn name="IMPUESTOS" id="2"/>
    <tableColumn name="SERVICIOS" id="3"/>
    <tableColumn name="EMPLEADOS" id="4"/>
    <tableColumn name="PROVEEDORES" id="5"/>
    <tableColumn name="CUOTA CREDITO" id="6"/>
    <tableColumn name="RETIROS EFECTIVO" id="7"/>
    <tableColumn name="ARRENDAMIENTOS" id="8"/>
    <tableColumn name="OTROS" id="9"/>
    <tableColumn name="PAGO CHEQUE" id="10"/>
  </tableColumns>
  <tableStyleInfo name="Flujo de caja-style 4" showColumnStripes="0" showFirstColumn="1" showLastColumn="1" showRowStripes="1"/>
</table>
</file>

<file path=xl/tables/table5.xml><?xml version="1.0" encoding="utf-8"?>
<table xmlns="http://schemas.openxmlformats.org/spreadsheetml/2006/main" ref="A3:G6" displayName="Tabla_5" name="Tabla_5" id="5">
  <tableColumns count="7">
    <tableColumn name="Especie" id="1"/>
    <tableColumn name="Categoria" id="2"/>
    <tableColumn name="Stock" id="3"/>
    <tableColumn name="Cambio " id="4"/>
    <tableColumn name="Stock real" id="5"/>
    <tableColumn name="Diferencia" id="6"/>
    <tableColumn name="Notas" id="7"/>
  </tableColumns>
  <tableStyleInfo name="Control stock hacienda-style" showColumnStripes="0" showFirstColumn="1" showLastColumn="1" showRowStripes="1"/>
</table>
</file>

<file path=xl/tables/table6.xml><?xml version="1.0" encoding="utf-8"?>
<table xmlns="http://schemas.openxmlformats.org/spreadsheetml/2006/main" ref="A1:P4" displayName="Tabla_6" name="Tabla_6" id="6">
  <tableColumns count="16">
    <tableColumn name="Fecha" id="1"/>
    <tableColumn name="Carga de camión" id="2"/>
    <tableColumn name="Kilos de descargas" id="3"/>
    <tableColumn name="Kilos de descuento" id="4"/>
    <tableColumn name="Kilos totales" id="5"/>
    <tableColumn name="Pizarra al día" id="6"/>
    <tableColumn name="Descuento" id="7"/>
    <tableColumn name="Descuento de pizarra" id="8"/>
    <tableColumn name="Importe" id="9"/>
    <tableColumn name="Importe total" id="10"/>
    <tableColumn name="Carga flete" id="11"/>
    <tableColumn name="Ultimo saldo" id="12"/>
    <tableColumn name="Total" id="13"/>
    <tableColumn name="Entrega" id="14"/>
    <tableColumn name="Medio de pago" id="15"/>
    <tableColumn name="Saldo final" id="16"/>
  </tableColumns>
  <tableStyleInfo name="Venta granos-style" showColumnStripes="0" showFirstColumn="1" showLastColumn="1" showRowStripes="1"/>
</table>
</file>

<file path=xl/tables/table7.xml><?xml version="1.0" encoding="utf-8"?>
<table xmlns="http://schemas.openxmlformats.org/spreadsheetml/2006/main" ref="A1:P4" displayName="Tabla_7" name="Tabla_7" id="7">
  <tableColumns count="16">
    <tableColumn name="Fecha" id="1"/>
    <tableColumn name="Carga de camión" id="2"/>
    <tableColumn name="Kilos Bruto" id="3"/>
    <tableColumn name="Kilos Tara" id="4"/>
    <tableColumn name="Kilos Neto" id="5"/>
    <tableColumn name="Desvaste" id="6"/>
    <tableColumn name="Descuento de pizarra" id="7"/>
    <tableColumn name="Kilos totales" id="8"/>
    <tableColumn name="Precio" id="9"/>
    <tableColumn name="Importe total" id="10"/>
    <tableColumn name="IVA" id="11"/>
    <tableColumn name="Ultimo saldo" id="12"/>
    <tableColumn name="Total" id="13"/>
    <tableColumn name="Entrega" id="14"/>
    <tableColumn name="Medio de pago" id="15"/>
    <tableColumn name="Saldo final" id="16"/>
  </tableColumns>
  <tableStyleInfo name="Venta hacienda-style" showColumnStripes="0" showFirstColumn="1" showLastColumn="1" showRowStripes="1"/>
</table>
</file>

<file path=xl/tables/table8.xml><?xml version="1.0" encoding="utf-8"?>
<table xmlns="http://schemas.openxmlformats.org/spreadsheetml/2006/main" ref="A1:M6" displayName="Tabla_8" name="Tabla_8" id="8">
  <tableColumns count="13">
    <tableColumn name="Banco Emisor" id="1"/>
    <tableColumn name="Numero de cheque" id="2"/>
    <tableColumn name="Tipo de cheque" id="3"/>
    <tableColumn name="Titular" id="4"/>
    <tableColumn name="CUIT Titular" id="5"/>
    <tableColumn name="Fecha de recepcion " id="6"/>
    <tableColumn name="Fecha de entrega" id="7"/>
    <tableColumn name="Fecha de pago" id="8"/>
    <tableColumn name="Monto" id="9"/>
    <tableColumn name="Origen" id="10"/>
    <tableColumn name="Destino" id="11"/>
    <tableColumn name="Estado" id="12"/>
    <tableColumn name="Quien lo recibe " id="13"/>
  </tableColumns>
  <tableStyleInfo name="Control de cheques-style" showColumnStripes="0" showFirstColumn="1" showLastColumn="1" showRowStripes="1"/>
</table>
</file>

<file path=xl/tables/table9.xml><?xml version="1.0" encoding="utf-8"?>
<table xmlns="http://schemas.openxmlformats.org/spreadsheetml/2006/main" ref="A1:C6" displayName="Gastos_propios" name="Gastos_propios" id="9">
  <tableColumns count="3">
    <tableColumn name="Monto" id="1"/>
    <tableColumn name="Descripcion" id="2"/>
    <tableColumn name="Fecha de inicio" id="3"/>
  </tableColumns>
  <tableStyleInfo name="Gastossueldos-style" showColumnStripes="0" showFirstColumn="1" showLastColumn="1" showRowStripes="1"/>
</table>
</file>

<file path=xl/tables/table10.xml><?xml version="1.0" encoding="utf-8"?>
<table xmlns="http://schemas.openxmlformats.org/spreadsheetml/2006/main" ref="A16:F19" displayName="Gastos_empleados" name="Gastos_empleados" id="10">
  <tableColumns count="6">
    <tableColumn name="Monto" id="1"/>
    <tableColumn name="Descripcion" id="2"/>
    <tableColumn name="Estado" id="3"/>
    <tableColumn name="Fecha de inicio" id="4"/>
    <tableColumn name="Fecha de finalización" id="5"/>
    <tableColumn name="Notas" id="6"/>
  </tableColumns>
  <tableStyleInfo name="Gastossueldos-style 2" showColumnStripes="0" showFirstColumn="1" showLastColumn="1" showRowStripes="1"/>
</table>
</file>

<file path=xl/tables/table11.xml><?xml version="1.0" encoding="utf-8"?>
<table xmlns="http://schemas.openxmlformats.org/spreadsheetml/2006/main" ref="A23:E29" displayName="Sueldos_administración" name="Sueldos_administración" id="11">
  <tableColumns count="5">
    <tableColumn name="Fecha " id="1"/>
    <tableColumn name="Concepto" id="2"/>
    <tableColumn name="Monto" id="3"/>
    <tableColumn name="Adelanto" id="4"/>
    <tableColumn name="Detalle" id="5"/>
  </tableColumns>
  <tableStyleInfo name="Gastossueldos-style 3" showColumnStripes="0" showFirstColumn="1" showLastColumn="1" showRowStripes="1"/>
</table>
</file>

<file path=xl/tables/table12.xml><?xml version="1.0" encoding="utf-8"?>
<table xmlns="http://schemas.openxmlformats.org/spreadsheetml/2006/main" ref="A1:H7" displayName="Tabla_9" name="Tabla_9" id="12">
  <tableColumns count="8">
    <tableColumn name="Fecha grupo" id="1"/>
    <tableColumn name="Tipo" id="2"/>
    <tableColumn name="KG" id="3"/>
    <tableColumn name="Estado" id="4"/>
    <tableColumn name="Precio por KG" id="5"/>
    <tableColumn name="Total" id="6"/>
    <tableColumn name="Entregado a" id="7"/>
    <tableColumn name="Notas" id="8"/>
  </tableColumns>
  <tableStyleInfo name="PyME-style" showColumnStripes="0" showFirstColumn="1" showLastColumn="1" showRowStripes="1"/>
</table>
</file>

<file path=xl/tables/table13.xml><?xml version="1.0" encoding="utf-8"?>
<table xmlns="http://schemas.openxmlformats.org/spreadsheetml/2006/main" ref="A1:G4" displayName="Tabla_10" name="Tabla_10" id="13">
  <tableColumns count="7">
    <tableColumn name="Nombre del cliente / proveedor" id="1"/>
    <tableColumn name="Saldo total" id="2"/>
    <tableColumn name="Transferencia o echeq " id="3"/>
    <tableColumn name="Fecha de la solicitud" id="4"/>
    <tableColumn name="Prioridad " id="5"/>
    <tableColumn name="Estado de la cuenta " id="6"/>
    <tableColumn name="Observaciones" id="7"/>
  </tableColumns>
  <tableStyleInfo name="Cuentas corrientes-style" showColumnStripes="0" showFirstColumn="1" showLastColumn="1" showRowStripes="1"/>
</table>
</file>

<file path=xl/tables/table14.xml><?xml version="1.0" encoding="utf-8"?>
<table xmlns="http://schemas.openxmlformats.org/spreadsheetml/2006/main" ref="A1:G7" displayName="diario" name="diario" id="14">
  <tableColumns count="7">
    <tableColumn name="Fecha" id="1"/>
    <tableColumn name="Ingreso" id="2"/>
    <tableColumn name="Recibido por" id="3"/>
    <tableColumn name="Cuenta de" id="4"/>
    <tableColumn name="Egreso" id="5"/>
    <tableColumn name="Entregado a " id="6"/>
    <tableColumn name="Disponible" id="7"/>
  </tableColumns>
  <tableStyleInfo name="Control efectivo-style" showColumnStripes="0" showFirstColumn="1" showLastColumn="1" showRowStripes="1"/>
</table>
</file>

<file path=xl/tables/table15.xml><?xml version="1.0" encoding="utf-8"?>
<table xmlns="http://schemas.openxmlformats.org/spreadsheetml/2006/main" ref="A10:F15" displayName="oficina" name="oficina" id="15">
  <tableColumns count="6">
    <tableColumn name="Fecha" id="1"/>
    <tableColumn name="Ingreso" id="2"/>
    <tableColumn name="Recibido por" id="3"/>
    <tableColumn name="Egreso" id="4"/>
    <tableColumn name="Entregado a " id="5"/>
    <tableColumn name="Disponible" id="6"/>
  </tableColumns>
  <tableStyleInfo name="Control efectivo-style 2" showColumnStripes="0" showFirstColumn="1" showLastColumn="1" showRowStripes="1"/>
</table>
</file>

<file path=xl/tables/table16.xml><?xml version="1.0" encoding="utf-8"?>
<table xmlns="http://schemas.openxmlformats.org/spreadsheetml/2006/main" ref="A18:G25" displayName="chicos" name="chicos" id="16">
  <tableColumns count="7">
    <tableColumn name="Fecha de inicio" id="1"/>
    <tableColumn name="Activos" id="2"/>
    <tableColumn name="Tipo de pasivo" id="3"/>
    <tableColumn name="Pasivos empresa" id="4"/>
    <tableColumn name="Pasivos Familia " id="5"/>
    <tableColumn name="Descripcion" id="6"/>
    <tableColumn name="Columna 1" id="7"/>
  </tableColumns>
  <tableStyleInfo name="Control efectivo-style 3" showColumnStripes="0" showFirstColumn="1" showLastColumn="1" showRowStripes="1"/>
</table>
</file>

<file path=xl/tables/table17.xml><?xml version="1.0" encoding="utf-8"?>
<table xmlns="http://schemas.openxmlformats.org/spreadsheetml/2006/main" ref="A1:U7" displayName="Tabla_11" name="Tabla_11" id="17">
  <tableColumns count="21">
    <tableColumn name="Fecha de INICIO" id="1"/>
    <tableColumn name="Lugar de partida - Destino" id="2"/>
    <tableColumn name="Transporta " id="3"/>
    <tableColumn name="CTG" id="4"/>
    <tableColumn name="Num de CDP" id="5"/>
    <tableColumn name="KM de inicio" id="6"/>
    <tableColumn name="MC DE GAS" id="7"/>
    <tableColumn name="Gastos de gas/combustible " id="8"/>
    <tableColumn name="Gastos de peajes" id="9"/>
    <tableColumn name="Gastos de comida" id="10"/>
    <tableColumn name="Gastos varios" id="11"/>
    <tableColumn name="Fecha de finalizacion" id="12"/>
    <tableColumn name="KM al finalizar" id="13"/>
    <tableColumn name="KM recorridos" id="14"/>
    <tableColumn name="KG de descarga " id="15"/>
    <tableColumn name="Gastos totales" id="16"/>
    <tableColumn name="Transferencias" id="17"/>
    <tableColumn name="Efectivo" id="18"/>
    <tableColumn name="Sobrante viaje anterior" id="19"/>
    <tableColumn name="Resto de dinero" id="20"/>
    <tableColumn name="Observaciones" id="21"/>
  </tableColumns>
  <tableStyleInfo name="Hojas de viajes camioner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5" Type="http://schemas.openxmlformats.org/officeDocument/2006/relationships/table" Target="../tables/table9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5" Type="http://schemas.openxmlformats.org/officeDocument/2006/relationships/table" Target="../tables/table14.xml"/><Relationship Id="rId6" Type="http://schemas.openxmlformats.org/officeDocument/2006/relationships/table" Target="../tables/table15.xml"/><Relationship Id="rId7" Type="http://schemas.openxmlformats.org/officeDocument/2006/relationships/table" Target="../tables/table16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>
      <c r="A2" s="2" t="s">
        <v>12</v>
      </c>
      <c r="B2" s="3"/>
      <c r="C2" s="4">
        <v>489.505</v>
      </c>
      <c r="D2" s="3"/>
      <c r="E2" s="3"/>
      <c r="F2" s="3"/>
      <c r="G2" s="4">
        <v>6123109.0</v>
      </c>
      <c r="H2" s="3"/>
      <c r="I2" s="3"/>
      <c r="J2" s="4">
        <f>G2/C2</f>
        <v>12508.77723</v>
      </c>
      <c r="K2" s="4">
        <f>J2*C2</f>
        <v>6123109</v>
      </c>
      <c r="L2" s="2"/>
    </row>
    <row r="3">
      <c r="A3" s="2" t="s">
        <v>13</v>
      </c>
      <c r="B3" s="3"/>
      <c r="C3" s="3"/>
      <c r="D3" s="3"/>
      <c r="E3" s="3"/>
      <c r="F3" s="3"/>
      <c r="G3" s="4">
        <f t="shared" ref="G3:G6" si="1">(B3*C3)-E3-F3</f>
        <v>0</v>
      </c>
      <c r="H3" s="4">
        <v>3000000.0</v>
      </c>
      <c r="I3" s="4">
        <f t="shared" ref="I3:I6" si="2">K2</f>
        <v>6123109</v>
      </c>
      <c r="J3" s="4">
        <f>J2-((G2-H3)/C2)</f>
        <v>6128.640157</v>
      </c>
      <c r="K3" s="4">
        <f t="shared" ref="K3:K6" si="3">G3+I3-H3</f>
        <v>3123109</v>
      </c>
      <c r="L3" s="2"/>
    </row>
    <row r="4">
      <c r="A4" s="2" t="s">
        <v>14</v>
      </c>
      <c r="B4" s="3"/>
      <c r="C4" s="3"/>
      <c r="D4" s="3"/>
      <c r="E4" s="3"/>
      <c r="F4" s="3"/>
      <c r="G4" s="4">
        <f t="shared" si="1"/>
        <v>0</v>
      </c>
      <c r="H4" s="4">
        <v>2000000.0</v>
      </c>
      <c r="I4" s="4">
        <f t="shared" si="2"/>
        <v>3123109</v>
      </c>
      <c r="J4" s="4">
        <f>J3-((K3-H4)/C2)</f>
        <v>3834.263184</v>
      </c>
      <c r="K4" s="4">
        <f t="shared" si="3"/>
        <v>1123109</v>
      </c>
      <c r="L4" s="2" t="s">
        <v>15</v>
      </c>
    </row>
    <row r="5">
      <c r="A5" s="5" t="s">
        <v>16</v>
      </c>
      <c r="B5" s="3"/>
      <c r="C5" s="3"/>
      <c r="D5" s="3"/>
      <c r="E5" s="3"/>
      <c r="F5" s="3"/>
      <c r="G5" s="4">
        <f t="shared" si="1"/>
        <v>0</v>
      </c>
      <c r="H5" s="4">
        <v>200000.0</v>
      </c>
      <c r="I5" s="4">
        <f t="shared" si="2"/>
        <v>1123109</v>
      </c>
      <c r="J5" s="4">
        <f>J4-((K4-H5)/C2)</f>
        <v>1948.462222</v>
      </c>
      <c r="K5" s="4">
        <f t="shared" si="3"/>
        <v>923109</v>
      </c>
      <c r="L5" s="2"/>
    </row>
    <row r="6">
      <c r="A6" s="2" t="s">
        <v>17</v>
      </c>
      <c r="B6" s="3"/>
      <c r="C6" s="3"/>
      <c r="D6" s="3"/>
      <c r="E6" s="3"/>
      <c r="F6" s="3"/>
      <c r="G6" s="4">
        <f t="shared" si="1"/>
        <v>0</v>
      </c>
      <c r="H6" s="4">
        <v>923109.0</v>
      </c>
      <c r="I6" s="4">
        <f t="shared" si="2"/>
        <v>923109</v>
      </c>
      <c r="J6" s="4">
        <v>0.0</v>
      </c>
      <c r="K6" s="4">
        <f t="shared" si="3"/>
        <v>0</v>
      </c>
      <c r="L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18</v>
      </c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7" t="s">
        <v>19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25</v>
      </c>
      <c r="H3" s="8" t="s">
        <v>26</v>
      </c>
      <c r="I3" s="8" t="s">
        <v>27</v>
      </c>
      <c r="J3" s="8" t="s">
        <v>28</v>
      </c>
      <c r="K3" s="8" t="s">
        <v>29</v>
      </c>
      <c r="L3" s="8" t="s">
        <v>30</v>
      </c>
      <c r="M3" s="8" t="s">
        <v>31</v>
      </c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9" t="s">
        <v>32</v>
      </c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>
      <c r="A7" s="13" t="s">
        <v>33</v>
      </c>
      <c r="B7" s="14">
        <f t="shared" ref="B7:M7" si="1">SUM(B8:B15)</f>
        <v>0</v>
      </c>
      <c r="C7" s="15">
        <f t="shared" si="1"/>
        <v>0</v>
      </c>
      <c r="D7" s="15">
        <f t="shared" si="1"/>
        <v>0</v>
      </c>
      <c r="E7" s="15">
        <f t="shared" si="1"/>
        <v>0</v>
      </c>
      <c r="F7" s="15">
        <f t="shared" si="1"/>
        <v>0</v>
      </c>
      <c r="G7" s="15">
        <f t="shared" si="1"/>
        <v>0</v>
      </c>
      <c r="H7" s="15">
        <f t="shared" si="1"/>
        <v>0</v>
      </c>
      <c r="I7" s="15">
        <f t="shared" si="1"/>
        <v>0</v>
      </c>
      <c r="J7" s="15">
        <f t="shared" si="1"/>
        <v>0</v>
      </c>
      <c r="K7" s="15">
        <f t="shared" si="1"/>
        <v>0</v>
      </c>
      <c r="L7" s="15">
        <f t="shared" si="1"/>
        <v>0</v>
      </c>
      <c r="M7" s="16">
        <f t="shared" si="1"/>
        <v>0</v>
      </c>
    </row>
    <row r="8">
      <c r="A8" s="17" t="s">
        <v>34</v>
      </c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</row>
    <row r="9">
      <c r="A9" s="17" t="s">
        <v>35</v>
      </c>
      <c r="B9" s="18"/>
      <c r="C9" s="19"/>
      <c r="D9" s="19"/>
      <c r="E9" s="19"/>
      <c r="F9" s="19"/>
      <c r="G9" s="19"/>
      <c r="H9" s="19"/>
      <c r="I9" s="19"/>
      <c r="J9" s="19"/>
      <c r="K9" s="19"/>
      <c r="L9" s="19"/>
      <c r="M9" s="20"/>
    </row>
    <row r="10">
      <c r="A10" s="17" t="s">
        <v>36</v>
      </c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20"/>
    </row>
    <row r="11">
      <c r="A11" s="17" t="s">
        <v>37</v>
      </c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20"/>
    </row>
    <row r="12">
      <c r="A12" s="17" t="s">
        <v>38</v>
      </c>
      <c r="B12" s="18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20"/>
    </row>
    <row r="13">
      <c r="A13" s="21" t="s">
        <v>39</v>
      </c>
      <c r="B13" s="22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4"/>
    </row>
    <row r="14">
      <c r="A14" s="21" t="s">
        <v>40</v>
      </c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4"/>
    </row>
    <row r="15">
      <c r="A15" s="25" t="s">
        <v>41</v>
      </c>
      <c r="B15" s="26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8"/>
    </row>
    <row r="16">
      <c r="A16" s="5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</row>
    <row r="17">
      <c r="A17" s="30" t="s">
        <v>42</v>
      </c>
      <c r="B17" s="31">
        <f t="shared" ref="B17:M17" si="2">SUM(B18:B26)</f>
        <v>0</v>
      </c>
      <c r="C17" s="32">
        <f t="shared" si="2"/>
        <v>0</v>
      </c>
      <c r="D17" s="32">
        <f t="shared" si="2"/>
        <v>0</v>
      </c>
      <c r="E17" s="32">
        <f t="shared" si="2"/>
        <v>0</v>
      </c>
      <c r="F17" s="32">
        <f t="shared" si="2"/>
        <v>0</v>
      </c>
      <c r="G17" s="32">
        <f t="shared" si="2"/>
        <v>0</v>
      </c>
      <c r="H17" s="32">
        <f t="shared" si="2"/>
        <v>0</v>
      </c>
      <c r="I17" s="32">
        <f t="shared" si="2"/>
        <v>0</v>
      </c>
      <c r="J17" s="32">
        <f t="shared" si="2"/>
        <v>0</v>
      </c>
      <c r="K17" s="32">
        <f t="shared" si="2"/>
        <v>0</v>
      </c>
      <c r="L17" s="32">
        <f t="shared" si="2"/>
        <v>0</v>
      </c>
      <c r="M17" s="33">
        <f t="shared" si="2"/>
        <v>0</v>
      </c>
    </row>
    <row r="18">
      <c r="A18" s="34" t="s">
        <v>43</v>
      </c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7"/>
    </row>
    <row r="19">
      <c r="A19" s="34" t="s">
        <v>44</v>
      </c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7"/>
    </row>
    <row r="20">
      <c r="A20" s="34" t="s">
        <v>45</v>
      </c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7"/>
    </row>
    <row r="21">
      <c r="A21" s="34" t="s">
        <v>46</v>
      </c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7"/>
    </row>
    <row r="22">
      <c r="A22" s="34" t="s">
        <v>47</v>
      </c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7"/>
    </row>
    <row r="23">
      <c r="A23" s="38" t="s">
        <v>48</v>
      </c>
      <c r="B23" s="39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1"/>
    </row>
    <row r="24">
      <c r="A24" s="38" t="s">
        <v>49</v>
      </c>
      <c r="B24" s="39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1"/>
    </row>
    <row r="25">
      <c r="A25" s="38" t="s">
        <v>50</v>
      </c>
      <c r="B25" s="39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1"/>
    </row>
    <row r="26">
      <c r="A26" s="42" t="s">
        <v>51</v>
      </c>
      <c r="B26" s="43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5"/>
    </row>
    <row r="27">
      <c r="A27" s="5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</row>
    <row r="28">
      <c r="A28" s="46" t="s">
        <v>52</v>
      </c>
      <c r="B28" s="47">
        <f t="shared" ref="B28:M28" si="3">B7-B17</f>
        <v>0</v>
      </c>
      <c r="C28" s="48">
        <f t="shared" si="3"/>
        <v>0</v>
      </c>
      <c r="D28" s="48">
        <f t="shared" si="3"/>
        <v>0</v>
      </c>
      <c r="E28" s="48">
        <f t="shared" si="3"/>
        <v>0</v>
      </c>
      <c r="F28" s="48">
        <f t="shared" si="3"/>
        <v>0</v>
      </c>
      <c r="G28" s="48">
        <f t="shared" si="3"/>
        <v>0</v>
      </c>
      <c r="H28" s="48">
        <f t="shared" si="3"/>
        <v>0</v>
      </c>
      <c r="I28" s="48">
        <f t="shared" si="3"/>
        <v>0</v>
      </c>
      <c r="J28" s="48">
        <f t="shared" si="3"/>
        <v>0</v>
      </c>
      <c r="K28" s="48">
        <f t="shared" si="3"/>
        <v>0</v>
      </c>
      <c r="L28" s="48">
        <f t="shared" si="3"/>
        <v>0</v>
      </c>
      <c r="M28" s="49">
        <f t="shared" si="3"/>
        <v>0</v>
      </c>
    </row>
    <row r="29">
      <c r="A29" s="50" t="s">
        <v>53</v>
      </c>
      <c r="B29" s="51"/>
      <c r="C29" s="52">
        <f>C28+B28</f>
        <v>0</v>
      </c>
      <c r="D29" s="52">
        <f t="shared" ref="D29:M29" si="4">D28+C29</f>
        <v>0</v>
      </c>
      <c r="E29" s="52">
        <f t="shared" si="4"/>
        <v>0</v>
      </c>
      <c r="F29" s="52">
        <f t="shared" si="4"/>
        <v>0</v>
      </c>
      <c r="G29" s="52">
        <f t="shared" si="4"/>
        <v>0</v>
      </c>
      <c r="H29" s="52">
        <f t="shared" si="4"/>
        <v>0</v>
      </c>
      <c r="I29" s="52">
        <f t="shared" si="4"/>
        <v>0</v>
      </c>
      <c r="J29" s="52">
        <f t="shared" si="4"/>
        <v>0</v>
      </c>
      <c r="K29" s="52">
        <f t="shared" si="4"/>
        <v>0</v>
      </c>
      <c r="L29" s="52">
        <f t="shared" si="4"/>
        <v>0</v>
      </c>
      <c r="M29" s="53">
        <f t="shared" si="4"/>
        <v>0</v>
      </c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22.5" customHeight="1">
      <c r="A32" s="54" t="s">
        <v>54</v>
      </c>
      <c r="B32" s="54" t="s">
        <v>55</v>
      </c>
      <c r="C32" s="54" t="s">
        <v>56</v>
      </c>
      <c r="D32" s="5"/>
      <c r="E32" s="55" t="s">
        <v>54</v>
      </c>
      <c r="F32" s="55" t="s">
        <v>55</v>
      </c>
      <c r="G32" s="55" t="s">
        <v>57</v>
      </c>
      <c r="H32" s="5"/>
      <c r="I32" s="5"/>
      <c r="J32" s="5"/>
      <c r="K32" s="5"/>
      <c r="L32" s="5"/>
      <c r="M32" s="5"/>
    </row>
    <row r="33" ht="22.5" customHeight="1">
      <c r="A33" s="56" t="s">
        <v>58</v>
      </c>
      <c r="B33" s="57"/>
      <c r="C33" s="58"/>
      <c r="D33" s="5"/>
      <c r="E33" s="56" t="s">
        <v>58</v>
      </c>
      <c r="F33" s="59">
        <v>8400000.0</v>
      </c>
      <c r="G33" s="60" t="s">
        <v>59</v>
      </c>
      <c r="H33" s="5"/>
      <c r="I33" s="5"/>
      <c r="J33" s="5"/>
      <c r="K33" s="5"/>
      <c r="L33" s="5"/>
      <c r="M33" s="5"/>
    </row>
    <row r="34" ht="22.5" customHeight="1">
      <c r="A34" s="61" t="s">
        <v>60</v>
      </c>
      <c r="B34" s="62">
        <v>1.1095717791E8</v>
      </c>
      <c r="C34" s="63" t="s">
        <v>61</v>
      </c>
      <c r="D34" s="5"/>
      <c r="E34" s="61" t="s">
        <v>58</v>
      </c>
      <c r="F34" s="64">
        <v>115000.0</v>
      </c>
      <c r="G34" s="63" t="s">
        <v>59</v>
      </c>
      <c r="H34" s="5"/>
      <c r="I34" s="5"/>
      <c r="J34" s="5"/>
      <c r="K34" s="5"/>
      <c r="L34" s="5"/>
      <c r="M34" s="5"/>
    </row>
    <row r="35" ht="22.5" customHeight="1">
      <c r="A35" s="56" t="s">
        <v>60</v>
      </c>
      <c r="B35" s="57"/>
      <c r="C35" s="58"/>
      <c r="D35" s="5"/>
      <c r="E35" s="56" t="s">
        <v>58</v>
      </c>
      <c r="F35" s="59">
        <v>36520.5</v>
      </c>
      <c r="G35" s="60" t="s">
        <v>62</v>
      </c>
      <c r="H35" s="5"/>
      <c r="I35" s="5"/>
      <c r="J35" s="5"/>
      <c r="K35" s="5"/>
      <c r="L35" s="5"/>
      <c r="M35" s="5"/>
    </row>
    <row r="36" ht="22.5" customHeight="1">
      <c r="A36" s="65"/>
      <c r="B36" s="66"/>
      <c r="C36" s="67"/>
      <c r="D36" s="5"/>
      <c r="E36" s="61" t="s">
        <v>58</v>
      </c>
      <c r="F36" s="64">
        <v>125905.73</v>
      </c>
      <c r="G36" s="63" t="s">
        <v>63</v>
      </c>
      <c r="H36" s="5"/>
    </row>
    <row r="37" ht="22.5" customHeight="1">
      <c r="A37" s="68"/>
      <c r="B37" s="57"/>
      <c r="C37" s="58"/>
      <c r="D37" s="5"/>
      <c r="E37" s="56" t="s">
        <v>58</v>
      </c>
      <c r="F37" s="59">
        <v>21000.0</v>
      </c>
      <c r="G37" s="60" t="s">
        <v>63</v>
      </c>
      <c r="H37" s="5"/>
    </row>
    <row r="38" ht="22.5" customHeight="1">
      <c r="A38" s="65"/>
      <c r="B38" s="66"/>
      <c r="C38" s="67"/>
      <c r="D38" s="5"/>
      <c r="E38" s="61" t="s">
        <v>58</v>
      </c>
      <c r="F38" s="64">
        <v>33000.0</v>
      </c>
      <c r="G38" s="63" t="s">
        <v>63</v>
      </c>
      <c r="H38" s="5"/>
    </row>
    <row r="39" ht="22.5" customHeight="1">
      <c r="A39" s="68"/>
      <c r="B39" s="57"/>
      <c r="C39" s="58"/>
      <c r="D39" s="5"/>
      <c r="E39" s="56" t="s">
        <v>58</v>
      </c>
      <c r="F39" s="59">
        <v>857500.0</v>
      </c>
      <c r="G39" s="60" t="s">
        <v>64</v>
      </c>
      <c r="H39" s="5"/>
    </row>
    <row r="40" ht="22.5" customHeight="1">
      <c r="A40" s="65"/>
      <c r="B40" s="66"/>
      <c r="C40" s="67"/>
      <c r="D40" s="5"/>
      <c r="E40" s="61" t="s">
        <v>58</v>
      </c>
      <c r="F40" s="64">
        <v>840000.0</v>
      </c>
      <c r="G40" s="63" t="s">
        <v>64</v>
      </c>
      <c r="H40" s="5"/>
    </row>
    <row r="41" ht="22.5" customHeight="1">
      <c r="A41" s="68"/>
      <c r="B41" s="57"/>
      <c r="C41" s="58"/>
      <c r="D41" s="5"/>
      <c r="E41" s="56" t="s">
        <v>58</v>
      </c>
      <c r="F41" s="59">
        <v>795000.0</v>
      </c>
      <c r="G41" s="60" t="s">
        <v>64</v>
      </c>
      <c r="H41" s="5"/>
    </row>
    <row r="42" ht="22.5" customHeight="1">
      <c r="A42" s="65"/>
      <c r="B42" s="66"/>
      <c r="C42" s="67"/>
      <c r="D42" s="5"/>
      <c r="E42" s="61" t="s">
        <v>58</v>
      </c>
      <c r="F42" s="64">
        <f>728000+156000</f>
        <v>884000</v>
      </c>
      <c r="G42" s="63" t="s">
        <v>64</v>
      </c>
      <c r="H42" s="5"/>
    </row>
    <row r="43" ht="22.5" customHeight="1">
      <c r="A43" s="68"/>
      <c r="B43" s="57"/>
      <c r="C43" s="58"/>
      <c r="D43" s="5"/>
      <c r="E43" s="56" t="s">
        <v>58</v>
      </c>
      <c r="F43" s="59">
        <v>423000.0</v>
      </c>
      <c r="G43" s="60" t="s">
        <v>64</v>
      </c>
      <c r="H43" s="5"/>
    </row>
    <row r="44" ht="22.5" customHeight="1">
      <c r="A44" s="65"/>
      <c r="B44" s="66"/>
      <c r="C44" s="67"/>
      <c r="D44" s="5"/>
    </row>
    <row r="45" ht="22.5" customHeight="1">
      <c r="A45" s="68"/>
      <c r="B45" s="57"/>
      <c r="C45" s="58"/>
      <c r="D45" s="5"/>
    </row>
    <row r="46" ht="22.5" customHeight="1">
      <c r="A46" s="69"/>
      <c r="B46" s="70"/>
      <c r="C46" s="71"/>
      <c r="D46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72"/>
      <c r="V50" s="5"/>
      <c r="W50" s="5"/>
      <c r="X50" s="5"/>
      <c r="Y50" s="5"/>
      <c r="Z50" s="5"/>
    </row>
    <row r="51" ht="22.5" customHeight="1">
      <c r="A51" s="55" t="s">
        <v>65</v>
      </c>
      <c r="B51" s="55" t="s">
        <v>66</v>
      </c>
      <c r="C51" s="55" t="s">
        <v>67</v>
      </c>
      <c r="D51" s="55" t="s">
        <v>68</v>
      </c>
      <c r="E51" s="55" t="s">
        <v>69</v>
      </c>
      <c r="F51" s="55" t="s">
        <v>61</v>
      </c>
      <c r="G51" s="55" t="s">
        <v>70</v>
      </c>
      <c r="H51" s="55" t="s">
        <v>71</v>
      </c>
      <c r="I51" s="55" t="s">
        <v>72</v>
      </c>
      <c r="J51" s="5"/>
      <c r="K51" s="5"/>
      <c r="L51" s="55" t="s">
        <v>65</v>
      </c>
      <c r="M51" s="55" t="s">
        <v>73</v>
      </c>
      <c r="N51" s="55" t="s">
        <v>74</v>
      </c>
      <c r="O51" s="55" t="s">
        <v>64</v>
      </c>
      <c r="P51" s="55" t="s">
        <v>63</v>
      </c>
      <c r="Q51" s="55" t="s">
        <v>59</v>
      </c>
      <c r="R51" s="73" t="s">
        <v>75</v>
      </c>
      <c r="S51" s="73" t="s">
        <v>76</v>
      </c>
      <c r="T51" s="55" t="s">
        <v>62</v>
      </c>
      <c r="U51" s="74" t="s">
        <v>77</v>
      </c>
      <c r="V51" s="5"/>
      <c r="W51" s="5"/>
      <c r="X51" s="5"/>
      <c r="Y51" s="5"/>
      <c r="Z51" s="5"/>
    </row>
    <row r="52" ht="22.5" customHeight="1">
      <c r="A52" s="75" t="s">
        <v>78</v>
      </c>
      <c r="B52" s="76" t="str">
        <f>SUMIFS(INGRESOS!B:B,INGRESOS!A:A,"01/26",INGRESOS!C:C,"GRANOS")</f>
        <v>#N/A</v>
      </c>
      <c r="C52" s="76" t="str">
        <f>SUMIFS(INGRESOS!B:B,INGRESOS!A:A,"01/26",INGRESOS!C:C,"HACIENDA")</f>
        <v>#N/A</v>
      </c>
      <c r="D52" s="76" t="str">
        <f>SUMIFS(INGRESOS!B:B,INGRESOS!A:A,"01/26",INGRESOS!C:C,"FLETES")</f>
        <v>#N/A</v>
      </c>
      <c r="E52" s="76" t="str">
        <f>SUMIFS(INGRESOS!B:B,INGRESOS!A:A,"01/26",INGRESOS!C:C,"PYME")</f>
        <v>#N/A</v>
      </c>
      <c r="F52" s="76" t="str">
        <f>SUMIFS(INGRESOS!B:B,INGRESOS!A:A,"01/26",INGRESOS!C:C,"CREDITO")</f>
        <v>#N/A</v>
      </c>
      <c r="G52" s="76" t="str">
        <f>SUMIFS(INGRESOS!B:B,INGRESOS!A:A,"01/26",INGRESOS!C:C,"CHEQUES")</f>
        <v>#N/A</v>
      </c>
      <c r="H52" s="76" t="str">
        <f>SUMIFS(INGRESOS!B:B,INGRESOS!A:A,"01/26",INGRESOS!C:C,"OTRAS VENTAS")</f>
        <v>#N/A</v>
      </c>
      <c r="I52" s="77" t="str">
        <f>SUMIFS(INGRESOS!B:B,INGRESOS!A:A,"01/26",INGRESOS!C:C,"OTROS INGRESOS")</f>
        <v>#N/A</v>
      </c>
      <c r="J52" s="5"/>
      <c r="K52" s="5"/>
      <c r="L52" s="75" t="s">
        <v>78</v>
      </c>
      <c r="M52" s="76" t="str">
        <f>SUMIFS(EGRESOS!B:B,EGRESOS!A:A,"01/26",EGRESOS!C:C,"IMPUESTOS")</f>
        <v>#N/A</v>
      </c>
      <c r="N52" s="76" t="str">
        <f>SUMIFS(EGRESOS!B:B,EGRESOS!A:A,"01/26",EGRESOS!C:C,"SERVICIOS")</f>
        <v>#N/A</v>
      </c>
      <c r="O52" s="76" t="str">
        <f>SUMIFS(EGRESOS!B:B,EGRESOS!A:A,"01/26",EGRESOS!C:C,"EMPLEADOS")</f>
        <v>#N/A</v>
      </c>
      <c r="P52" s="76" t="str">
        <f>SUMIFS(EGRESOS!B:B,EGRESOS!A:A,"01/26",EGRESOS!C:C,"PROVEEDORES")</f>
        <v>#N/A</v>
      </c>
      <c r="Q52" s="76" t="str">
        <f>SUMIFS(EGRESOS!B:B,EGRESOS!A:A,"01/26",EGRESOS!C:C,"CUOTA CREDITO")</f>
        <v>#N/A</v>
      </c>
      <c r="R52" s="76" t="str">
        <f>SUMIFS(EGRESOS!B:B,EGRESOS!A:A,"01/26",EGRESOS!C:C,"RETIROS EFECTIVO")</f>
        <v>#N/A</v>
      </c>
      <c r="S52" s="76" t="str">
        <f>SUMIFS(EGRESOS!B:B,EGRESOS!A:A,"01/26",EGRESOS!C:C,"ARRENDAMIENTOS")</f>
        <v>#N/A</v>
      </c>
      <c r="T52" s="76" t="str">
        <f>SUMIFS(EGRESOS!B:B,EGRESOS!A:A,"01/26",EGRESOS!C:C,"OTROS")</f>
        <v>#N/A</v>
      </c>
      <c r="U52" s="77" t="str">
        <f>SUMIFS(EGRESOS!B:B,EGRESOS!A:A,"01/26",EGRESOS!C:C,"PAGO CHEQUE")</f>
        <v>#N/A</v>
      </c>
      <c r="V52" s="5"/>
      <c r="W52" s="5"/>
      <c r="X52" s="5"/>
      <c r="Y52" s="5"/>
      <c r="Z52" s="5"/>
    </row>
    <row r="53" ht="22.5" customHeight="1">
      <c r="A53" s="78" t="s">
        <v>58</v>
      </c>
      <c r="B53" s="79" t="str">
        <f>SUMIFS(INGRESOS!B:B,INGRESOS!A:A,"02/26",INGRESOS!C:C,"GRANOS")</f>
        <v>#N/A</v>
      </c>
      <c r="C53" s="79" t="str">
        <f>SUMIFS(INGRESOS!B:B,INGRESOS!A:A,"02/26",INGRESOS!C:C,"HACIENDA")</f>
        <v>#N/A</v>
      </c>
      <c r="D53" s="79" t="str">
        <f>SUMIFS(INGRESOS!B:B,INGRESOS!A:A,"02/26",INGRESOS!C:C,"FLETES")</f>
        <v>#N/A</v>
      </c>
      <c r="E53" s="79" t="str">
        <f>SUMIFS(INGRESOS!B:B,INGRESOS!A:A,"02/26",INGRESOS!C:C,"PYME")</f>
        <v>#N/A</v>
      </c>
      <c r="F53" s="79" t="str">
        <f>SUMIFS(INGRESOS!B:B,INGRESOS!A:A,"02/26",INGRESOS!C:C,"CREDITO")</f>
        <v>#N/A</v>
      </c>
      <c r="G53" s="79" t="str">
        <f>SUMIFS(INGRESOS!B:B,INGRESOS!A:A,"02/26",INGRESOS!C:C,"CHEQUES")</f>
        <v>#N/A</v>
      </c>
      <c r="H53" s="79" t="str">
        <f>SUMIFS(INGRESOS!B:B,INGRESOS!A:A,"02/26",INGRESOS!C:C,"OTRAS VENTAS")</f>
        <v>#N/A</v>
      </c>
      <c r="I53" s="80" t="str">
        <f>SUMIFS(INGRESOS!B:B,INGRESOS!A:A,"02/26",INGRESOS!C:C,"OTROS INGRESOS")</f>
        <v>#N/A</v>
      </c>
      <c r="J53" s="5"/>
      <c r="K53" s="5"/>
      <c r="L53" s="78" t="s">
        <v>58</v>
      </c>
      <c r="M53" s="79" t="str">
        <f>SUMIFS(EGRESOS!B:B,EGRESOS!A:A,"02/26",EGRESOS!C:C,"IMPUESTOS")</f>
        <v>#N/A</v>
      </c>
      <c r="N53" s="79" t="str">
        <f>SUMIFS(EGRESOS!B:B,EGRESOS!A:A,"02/26",EGRESOS!C:C,"SERVICIOS")</f>
        <v>#N/A</v>
      </c>
      <c r="O53" s="79" t="str">
        <f>SUMIFS(EGRESOS!B:B,EGRESOS!A:A,"02/26",EGRESOS!C:C,"EMPLEADOS")</f>
        <v>#N/A</v>
      </c>
      <c r="P53" s="79" t="str">
        <f>SUMIFS(EGRESOS!B:B,EGRESOS!A:A,"02/26",EGRESOS!C:C,"PROVEEDORES")</f>
        <v>#N/A</v>
      </c>
      <c r="Q53" s="79" t="str">
        <f>SUMIFS(EGRESOS!B:B,EGRESOS!A:A,"02/26",EGRESOS!C:C,"CUOTA CREDITO")</f>
        <v>#N/A</v>
      </c>
      <c r="R53" s="79" t="str">
        <f>SUMIFS(EGRESOS!B:B,EGRESOS!A:A,"02/26",EGRESOS!C:C,"RETIROS EFECTIVO")</f>
        <v>#N/A</v>
      </c>
      <c r="S53" s="79" t="str">
        <f>SUMIFS(EGRESOS!B:B,EGRESOS!A:A,"02/26",EGRESOS!C:C,"ARRENDAMIENTOS")</f>
        <v>#N/A</v>
      </c>
      <c r="T53" s="79" t="str">
        <f>SUMIFS(EGRESOS!B:B,EGRESOS!A:A,"02/26",EGRESOS!C:C,"OTROS")</f>
        <v>#N/A</v>
      </c>
      <c r="U53" s="80" t="str">
        <f>SUMIFS(EGRESOS!B:B,EGRESOS!A:A,"02/26",EGRESOS!C:C,"PAGO CHEQUE")</f>
        <v>#N/A</v>
      </c>
      <c r="V53" s="5"/>
      <c r="W53" s="5"/>
      <c r="X53" s="5"/>
      <c r="Y53" s="5"/>
      <c r="Z53" s="5"/>
    </row>
    <row r="54" ht="22.5" customHeight="1">
      <c r="A54" s="75" t="s">
        <v>60</v>
      </c>
      <c r="B54" s="76" t="str">
        <f>SUMIFS(INGRESOS!B:B,INGRESOS!A:A,"03/26",INGRESOS!C:C,"GRANOS")</f>
        <v>#N/A</v>
      </c>
      <c r="C54" s="76" t="str">
        <f>SUMIFS(INGRESOS!B:B,INGRESOS!A:A,"03/26",INGRESOS!C:C,"HACIENDA")</f>
        <v>#N/A</v>
      </c>
      <c r="D54" s="76" t="str">
        <f>SUMIFS(INGRESOS!B:B,INGRESOS!A:A,"03/26",INGRESOS!C:C,"FLETES")</f>
        <v>#N/A</v>
      </c>
      <c r="E54" s="76" t="str">
        <f>SUMIFS(INGRESOS!B:B,INGRESOS!A:A,"03/26",INGRESOS!C:C,"PYME")</f>
        <v>#N/A</v>
      </c>
      <c r="F54" s="76" t="str">
        <f>SUMIFS(INGRESOS!B:B,INGRESOS!A:A,"03/26",INGRESOS!C:C,"CREDITO")</f>
        <v>#N/A</v>
      </c>
      <c r="G54" s="76" t="str">
        <f>SUMIFS(INGRESOS!B:B,INGRESOS!A:A,"03/26",INGRESOS!C:C,"CHEQUES")</f>
        <v>#N/A</v>
      </c>
      <c r="H54" s="76" t="str">
        <f>SUMIFS(INGRESOS!B:B,INGRESOS!A:A,"03/26",INGRESOS!C:C,"OTRAS VENTAS")</f>
        <v>#N/A</v>
      </c>
      <c r="I54" s="77" t="str">
        <f>SUMIFS(INGRESOS!B:B,INGRESOS!A:A,"03/26",INGRESOS!C:C,"OTROS INGRESOS")</f>
        <v>#N/A</v>
      </c>
      <c r="J54" s="5"/>
      <c r="K54" s="5"/>
      <c r="L54" s="75" t="s">
        <v>60</v>
      </c>
      <c r="M54" s="76" t="str">
        <f>SUMIFS(EGRESOS!B:B,EGRESOS!A:A,"03/26",EGRESOS!C:C,"IMPUESTOS")</f>
        <v>#N/A</v>
      </c>
      <c r="N54" s="76" t="str">
        <f>SUMIFS(EGRESOS!B:B,EGRESOS!A:A,"03/26",EGRESOS!C:C,"SERVICIOS")</f>
        <v>#N/A</v>
      </c>
      <c r="O54" s="76" t="str">
        <f>SUMIFS(EGRESOS!B:B,EGRESOS!A:A,"03/26",EGRESOS!C:C,"EMPLEADOS")</f>
        <v>#N/A</v>
      </c>
      <c r="P54" s="76" t="str">
        <f>SUMIFS(EGRESOS!B:B,EGRESOS!A:A,"03/26",EGRESOS!C:C,"PROVEEDORES")</f>
        <v>#N/A</v>
      </c>
      <c r="Q54" s="76" t="str">
        <f>SUMIFS(EGRESOS!B:B,EGRESOS!A:A,"03/26",EGRESOS!C:C,"CUOTA CREDITO")</f>
        <v>#N/A</v>
      </c>
      <c r="R54" s="76" t="str">
        <f>SUMIFS(EGRESOS!B:B,EGRESOS!A:A,"03/26",EGRESOS!C:C,"RETIROS EFECTIVO")</f>
        <v>#N/A</v>
      </c>
      <c r="S54" s="76" t="str">
        <f>SUMIFS(EGRESOS!B:B,EGRESOS!A:A,"03/26",EGRESOS!C:C,"ARRENDAMIENTOS")</f>
        <v>#N/A</v>
      </c>
      <c r="T54" s="76" t="str">
        <f>SUMIFS(EGRESOS!B:B,EGRESOS!A:A,"03/26",EGRESOS!C:C,"OTROS")</f>
        <v>#N/A</v>
      </c>
      <c r="U54" s="77" t="str">
        <f>SUMIFS(EGRESOS!B:B,EGRESOS!A:A,"03/26",EGRESOS!C:C,"PAGO CHEQUE")</f>
        <v>#N/A</v>
      </c>
      <c r="V54" s="5"/>
      <c r="W54" s="5"/>
      <c r="X54" s="5"/>
      <c r="Y54" s="5"/>
      <c r="Z54" s="5"/>
    </row>
    <row r="55" ht="22.5" customHeight="1">
      <c r="A55" s="78" t="s">
        <v>79</v>
      </c>
      <c r="B55" s="79" t="str">
        <f>SUMIFS(INGRESOS!B:B,INGRESOS!A:A,"04/26",INGRESOS!C:C,"GRANOS")</f>
        <v>#N/A</v>
      </c>
      <c r="C55" s="79" t="str">
        <f>SUMIFS(INGRESOS!B:B,INGRESOS!A:A,"04/26",INGRESOS!C:C,"HACIENDA")</f>
        <v>#N/A</v>
      </c>
      <c r="D55" s="79" t="str">
        <f>SUMIFS(INGRESOS!B:B,INGRESOS!A:A,"04/26",INGRESOS!C:C,"FLETES")</f>
        <v>#N/A</v>
      </c>
      <c r="E55" s="79" t="str">
        <f>SUMIFS(INGRESOS!B:B,INGRESOS!A:A,"04/26",INGRESOS!C:C,"PYME")</f>
        <v>#N/A</v>
      </c>
      <c r="F55" s="79" t="str">
        <f>SUMIFS(INGRESOS!B:B,INGRESOS!A:A,"04/26",INGRESOS!C:C,"CREDITO")</f>
        <v>#N/A</v>
      </c>
      <c r="G55" s="79" t="str">
        <f>SUMIFS(INGRESOS!B:B,INGRESOS!A:A,"04/26",INGRESOS!C:C,"CHEQUES")</f>
        <v>#N/A</v>
      </c>
      <c r="H55" s="79" t="str">
        <f>SUMIFS(INGRESOS!B:B,INGRESOS!A:A,"04/26",INGRESOS!C:C,"OTRAS VENTAS")</f>
        <v>#N/A</v>
      </c>
      <c r="I55" s="80" t="str">
        <f>SUMIFS(INGRESOS!B:B,INGRESOS!A:A,"04/26",INGRESOS!C:C,"OTROS INGRESOS")</f>
        <v>#N/A</v>
      </c>
      <c r="J55" s="5"/>
      <c r="K55" s="5"/>
      <c r="L55" s="78" t="s">
        <v>79</v>
      </c>
      <c r="M55" s="79" t="str">
        <f>SUMIFS(EGRESOS!B:B,EGRESOS!A:A,"04/26",EGRESOS!C:C,"IMPUESTOS")</f>
        <v>#N/A</v>
      </c>
      <c r="N55" s="79" t="str">
        <f>SUMIFS(EGRESOS!B:B,EGRESOS!A:A,"04/26",EGRESOS!C:C,"SERVICIOS")</f>
        <v>#N/A</v>
      </c>
      <c r="O55" s="79" t="str">
        <f>SUMIFS(EGRESOS!B:B,EGRESOS!A:A,"04/26",EGRESOS!C:C,"EMPLEADOS")</f>
        <v>#N/A</v>
      </c>
      <c r="P55" s="79" t="str">
        <f>SUMIFS(EGRESOS!B:B,EGRESOS!A:A,"04/26",EGRESOS!C:C,"PROVEEDORES")</f>
        <v>#N/A</v>
      </c>
      <c r="Q55" s="79" t="str">
        <f>SUMIFS(EGRESOS!B:B,EGRESOS!A:A,"04/26",EGRESOS!C:C,"CUOTA CREDITO")</f>
        <v>#N/A</v>
      </c>
      <c r="R55" s="79" t="str">
        <f>SUMIFS(EGRESOS!B:B,EGRESOS!A:A,"04/26",EGRESOS!C:C,"RETIROS EFECTIVO")</f>
        <v>#N/A</v>
      </c>
      <c r="S55" s="79" t="str">
        <f>SUMIFS(EGRESOS!B:B,EGRESOS!A:A,"04/26",EGRESOS!C:C,"ARRENDAMIENTOS")</f>
        <v>#N/A</v>
      </c>
      <c r="T55" s="79" t="str">
        <f>SUMIFS(EGRESOS!B:B,EGRESOS!A:A,"04/26",EGRESOS!C:C,"OTROS")</f>
        <v>#N/A</v>
      </c>
      <c r="U55" s="80" t="str">
        <f>SUMIFS(EGRESOS!B:B,EGRESOS!A:A,"04/26",EGRESOS!C:C,"PAGO CHEQUE")</f>
        <v>#N/A</v>
      </c>
      <c r="V55" s="5"/>
      <c r="W55" s="5"/>
      <c r="X55" s="5"/>
      <c r="Y55" s="5"/>
      <c r="Z55" s="5"/>
    </row>
    <row r="56" ht="22.5" customHeight="1">
      <c r="A56" s="75" t="s">
        <v>80</v>
      </c>
      <c r="B56" s="76" t="str">
        <f>SUMIFS(INGRESOS!B:B,INGRESOS!A:A,"05/26",INGRESOS!C:C,"GRANOS")</f>
        <v>#N/A</v>
      </c>
      <c r="C56" s="76" t="str">
        <f>SUMIFS(INGRESOS!B:B,INGRESOS!A:A,"05/26",INGRESOS!C:C,"HACIENDA")</f>
        <v>#N/A</v>
      </c>
      <c r="D56" s="76" t="str">
        <f>SUMIFS(INGRESOS!B:B,INGRESOS!A:A,"05/26",INGRESOS!C:C,"FLETES")</f>
        <v>#N/A</v>
      </c>
      <c r="E56" s="76" t="str">
        <f>SUMIFS(INGRESOS!B:B,INGRESOS!A:A,"05/26",INGRESOS!C:C,"PYME")</f>
        <v>#N/A</v>
      </c>
      <c r="F56" s="76" t="str">
        <f>SUMIFS(INGRESOS!B:B,INGRESOS!A:A,"05/26",INGRESOS!C:C,"CREDITO")</f>
        <v>#N/A</v>
      </c>
      <c r="G56" s="76" t="str">
        <f>SUMIFS(INGRESOS!B:B,INGRESOS!A:A,"05/26",INGRESOS!C:C,"CHEQUES")</f>
        <v>#N/A</v>
      </c>
      <c r="H56" s="76" t="str">
        <f>SUMIFS(INGRESOS!B:B,INGRESOS!A:A,"05/26",INGRESOS!C:C,"OTRAS VENTAS")</f>
        <v>#N/A</v>
      </c>
      <c r="I56" s="77" t="str">
        <f>SUMIFS(INGRESOS!B:B,INGRESOS!A:A,"05/26",INGRESOS!C:C,"OTROS INGRESOS")</f>
        <v>#N/A</v>
      </c>
      <c r="J56" s="5"/>
      <c r="K56" s="5"/>
      <c r="L56" s="75" t="s">
        <v>80</v>
      </c>
      <c r="M56" s="76" t="str">
        <f>SUMIFS(EGRESOS!B:B,EGRESOS!A:A,"05/26",EGRESOS!C:C,"IMPUESTOS")</f>
        <v>#N/A</v>
      </c>
      <c r="N56" s="76" t="str">
        <f>SUMIFS(EGRESOS!B:B,EGRESOS!A:A,"05/26",EGRESOS!C:C,"SERVICIOS")</f>
        <v>#N/A</v>
      </c>
      <c r="O56" s="76" t="str">
        <f>SUMIFS(EGRESOS!B:B,EGRESOS!A:A,"05/26",EGRESOS!C:C,"EMPLEADOS")</f>
        <v>#N/A</v>
      </c>
      <c r="P56" s="76" t="str">
        <f>SUMIFS(EGRESOS!B:B,EGRESOS!A:A,"05/26",EGRESOS!C:C,"PROVEEDORES")</f>
        <v>#N/A</v>
      </c>
      <c r="Q56" s="76" t="str">
        <f>SUMIFS(EGRESOS!B:B,EGRESOS!A:A,"05/26",EGRESOS!C:C,"CUOTA CREDITO")</f>
        <v>#N/A</v>
      </c>
      <c r="R56" s="76" t="str">
        <f>SUMIFS(EGRESOS!B:B,EGRESOS!A:A,"05/26",EGRESOS!C:C,"RETIROS EFECTIVO")</f>
        <v>#N/A</v>
      </c>
      <c r="S56" s="76" t="str">
        <f>SUMIFS(EGRESOS!B:B,EGRESOS!A:A,"05/26",EGRESOS!C:C,"ARRENDAMIENTOS")</f>
        <v>#N/A</v>
      </c>
      <c r="T56" s="76" t="str">
        <f>SUMIFS(EGRESOS!B:B,EGRESOS!A:A,"05/26",EGRESOS!C:C,"OTROS")</f>
        <v>#N/A</v>
      </c>
      <c r="U56" s="77" t="str">
        <f>SUMIFS(EGRESOS!B:B,EGRESOS!A:A,"05/26",EGRESOS!C:C,"PAGO CHEQUE")</f>
        <v>#N/A</v>
      </c>
      <c r="V56" s="5"/>
      <c r="W56" s="5"/>
      <c r="X56" s="5"/>
      <c r="Y56" s="5"/>
      <c r="Z56" s="5"/>
    </row>
  </sheetData>
  <mergeCells count="1">
    <mergeCell ref="A1:M1"/>
  </mergeCells>
  <dataValidations>
    <dataValidation type="list" allowBlank="1" sqref="C33:C46">
      <formula1>"GRANOS,HACIENDA,FLETES,PYME,CREDITO,CHEQUES,OTRAS VENTAS,OTROS INGRESOS"</formula1>
    </dataValidation>
    <dataValidation type="list" allowBlank="1" sqref="G33:G43">
      <formula1>"IMPUESTOS,SERVICIOS,EMPLEADOS,PROVEEDORES,CUOTA CREDITO,OTROS,RETIROS EFECTIVO,ARRENDAMIENTOS,PAGO CHEQUE"</formula1>
    </dataValidation>
    <dataValidation type="custom" allowBlank="1" showDropDown="1" sqref="F33:F43 B33:B46 M52:T56 B52:I56">
      <formula1>AND(ISNUMBER(B33),(NOT(OR(NOT(ISERROR(DATEVALUE(B33))), AND(ISNUMBER(B33), LEFT(CELL("format", B33))="D")))))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7" max="7" width="15.0"/>
  </cols>
  <sheetData>
    <row r="1">
      <c r="A1" s="1" t="s">
        <v>81</v>
      </c>
      <c r="B1" s="1" t="s">
        <v>82</v>
      </c>
      <c r="C1" s="1" t="s">
        <v>83</v>
      </c>
      <c r="D1" s="5"/>
      <c r="E1" s="5"/>
      <c r="F1" s="5"/>
      <c r="G1" s="5"/>
      <c r="H1" s="5"/>
    </row>
    <row r="2">
      <c r="A2" s="3"/>
      <c r="B2" s="81"/>
      <c r="C2" s="2"/>
      <c r="D2" s="5"/>
      <c r="E2" s="1" t="s">
        <v>84</v>
      </c>
      <c r="F2" s="1" t="s">
        <v>85</v>
      </c>
      <c r="G2" s="1" t="s">
        <v>86</v>
      </c>
      <c r="H2" s="5"/>
    </row>
    <row r="3">
      <c r="A3" s="3"/>
      <c r="B3" s="2"/>
      <c r="C3" s="2"/>
      <c r="D3" s="5"/>
      <c r="E3" s="82">
        <v>30.0</v>
      </c>
      <c r="F3" s="82">
        <v>90.0</v>
      </c>
      <c r="G3" s="82">
        <f>(E3*F3)*100</f>
        <v>270000</v>
      </c>
      <c r="H3" s="5"/>
    </row>
    <row r="4">
      <c r="A4" s="3"/>
      <c r="B4" s="2"/>
      <c r="C4" s="2"/>
      <c r="D4" s="5"/>
      <c r="E4" s="5"/>
      <c r="F4" s="5"/>
      <c r="G4" s="5"/>
      <c r="H4" s="5"/>
    </row>
    <row r="5">
      <c r="A5" s="3"/>
      <c r="B5" s="2"/>
      <c r="C5" s="2"/>
      <c r="D5" s="5"/>
      <c r="E5" s="83" t="s">
        <v>87</v>
      </c>
      <c r="F5" s="84">
        <v>270000.0</v>
      </c>
      <c r="G5" s="5"/>
      <c r="H5" s="5"/>
    </row>
    <row r="6">
      <c r="A6" s="3"/>
      <c r="B6" s="2"/>
      <c r="C6" s="2"/>
      <c r="D6" s="5"/>
      <c r="E6" s="83" t="s">
        <v>88</v>
      </c>
      <c r="F6" s="84">
        <f>SUM(A2:A25)</f>
        <v>0</v>
      </c>
      <c r="G6" s="5"/>
      <c r="H6" s="5"/>
    </row>
    <row r="7">
      <c r="A7" s="3"/>
      <c r="B7" s="2"/>
      <c r="C7" s="2"/>
      <c r="D7" s="5"/>
      <c r="E7" s="83" t="s">
        <v>89</v>
      </c>
      <c r="F7" s="84">
        <f>F5-F6</f>
        <v>270000</v>
      </c>
      <c r="G7" s="5"/>
      <c r="H7" s="5"/>
    </row>
    <row r="8">
      <c r="A8" s="3"/>
      <c r="B8" s="2"/>
      <c r="C8" s="2"/>
      <c r="D8" s="5"/>
      <c r="E8" s="5"/>
      <c r="F8" s="5"/>
      <c r="G8" s="5"/>
      <c r="H8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85" t="s">
        <v>90</v>
      </c>
      <c r="B1" s="5"/>
      <c r="C1" s="5"/>
      <c r="D1" s="5"/>
      <c r="E1" s="5"/>
      <c r="F1" s="5"/>
      <c r="G1" s="5"/>
      <c r="H1" s="5"/>
    </row>
    <row r="2">
      <c r="A2" s="5"/>
      <c r="B2" s="5"/>
      <c r="C2" s="5"/>
      <c r="D2" s="5"/>
      <c r="E2" s="5"/>
      <c r="F2" s="5"/>
      <c r="G2" s="5"/>
      <c r="H2" s="5"/>
    </row>
    <row r="3" ht="22.5" customHeight="1">
      <c r="A3" s="54" t="s">
        <v>91</v>
      </c>
      <c r="B3" s="54" t="s">
        <v>92</v>
      </c>
      <c r="C3" s="54" t="s">
        <v>93</v>
      </c>
      <c r="D3" s="54" t="s">
        <v>94</v>
      </c>
      <c r="E3" s="54" t="s">
        <v>95</v>
      </c>
      <c r="F3" s="54" t="s">
        <v>96</v>
      </c>
      <c r="G3" s="54" t="s">
        <v>97</v>
      </c>
      <c r="H3" s="5"/>
    </row>
    <row r="4" ht="22.5" customHeight="1">
      <c r="A4" s="86" t="s">
        <v>98</v>
      </c>
      <c r="B4" s="87" t="s">
        <v>99</v>
      </c>
      <c r="C4" s="88">
        <v>19.0</v>
      </c>
      <c r="D4" s="89"/>
      <c r="E4" s="88">
        <v>19.0</v>
      </c>
      <c r="F4" s="88">
        <f t="shared" ref="F4:F5" si="1">E4-C4</f>
        <v>0</v>
      </c>
      <c r="G4" s="90"/>
      <c r="H4" s="5"/>
    </row>
    <row r="5" ht="22.5" customHeight="1">
      <c r="A5" s="91" t="s">
        <v>98</v>
      </c>
      <c r="B5" s="92" t="s">
        <v>100</v>
      </c>
      <c r="C5" s="93">
        <v>19.0</v>
      </c>
      <c r="D5" s="94"/>
      <c r="E5" s="93">
        <v>19.0</v>
      </c>
      <c r="F5" s="93">
        <f t="shared" si="1"/>
        <v>0</v>
      </c>
      <c r="G5" s="95"/>
      <c r="H5" s="5"/>
    </row>
    <row r="6" ht="22.5" customHeight="1">
      <c r="A6" s="96"/>
      <c r="B6" s="97"/>
      <c r="C6" s="89"/>
      <c r="D6" s="89"/>
      <c r="E6" s="89"/>
      <c r="F6" s="89"/>
      <c r="G6" s="90"/>
      <c r="H6" s="5"/>
    </row>
  </sheetData>
  <dataValidations>
    <dataValidation type="custom" allowBlank="1" showDropDown="1" sqref="C4:F6">
      <formula1>AND(ISNUMBER(C4),(NOT(OR(NOT(ISERROR(DATEVALUE(C4))), AND(ISNUMBER(C4), LEFT(CELL("format", C4))="D")))))</formula1>
    </dataValidation>
    <dataValidation allowBlank="1" showDropDown="1" sqref="A4:B6 G4:G6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54" t="s">
        <v>101</v>
      </c>
      <c r="B1" s="54" t="s">
        <v>102</v>
      </c>
      <c r="C1" s="54" t="s">
        <v>103</v>
      </c>
      <c r="D1" s="54" t="s">
        <v>104</v>
      </c>
      <c r="E1" s="54" t="s">
        <v>105</v>
      </c>
      <c r="F1" s="54" t="s">
        <v>106</v>
      </c>
      <c r="G1" s="73" t="s">
        <v>107</v>
      </c>
      <c r="H1" s="73" t="s">
        <v>108</v>
      </c>
      <c r="I1" s="73" t="s">
        <v>109</v>
      </c>
      <c r="J1" s="73" t="s">
        <v>110</v>
      </c>
      <c r="K1" s="73" t="s">
        <v>111</v>
      </c>
      <c r="L1" s="73" t="s">
        <v>112</v>
      </c>
      <c r="M1" s="73" t="s">
        <v>3</v>
      </c>
      <c r="N1" s="73" t="s">
        <v>113</v>
      </c>
      <c r="O1" s="73" t="s">
        <v>114</v>
      </c>
      <c r="P1" s="73" t="s">
        <v>115</v>
      </c>
      <c r="Q1" s="5"/>
    </row>
    <row r="2" ht="22.5" customHeight="1">
      <c r="A2" s="98">
        <v>45478.0</v>
      </c>
      <c r="B2" s="99" t="s">
        <v>116</v>
      </c>
      <c r="C2" s="88">
        <v>34580.0</v>
      </c>
      <c r="D2" s="89"/>
      <c r="E2" s="88">
        <f t="shared" ref="E2:E4" si="1">C2-D2</f>
        <v>34580</v>
      </c>
      <c r="F2" s="100">
        <v>156.2</v>
      </c>
      <c r="G2" s="101"/>
      <c r="H2" s="102">
        <v>12.0</v>
      </c>
      <c r="I2" s="103">
        <f t="shared" ref="I2:I4" si="2">F2-H2</f>
        <v>144.2</v>
      </c>
      <c r="J2" s="103">
        <f t="shared" ref="J2:J4" si="3">I2*E2</f>
        <v>4986436</v>
      </c>
      <c r="K2" s="104"/>
      <c r="L2" s="104"/>
      <c r="M2" s="103">
        <f t="shared" ref="M2:M4" si="4">J2+L2+K2</f>
        <v>4986436</v>
      </c>
      <c r="N2" s="104"/>
      <c r="O2" s="105"/>
      <c r="P2" s="106">
        <f t="shared" ref="P2:P4" si="5">M2-N2</f>
        <v>4986436</v>
      </c>
      <c r="Q2" s="5"/>
    </row>
    <row r="3" ht="22.5" customHeight="1">
      <c r="A3" s="107">
        <v>45482.0</v>
      </c>
      <c r="B3" s="108" t="s">
        <v>116</v>
      </c>
      <c r="C3" s="93">
        <v>25400.0</v>
      </c>
      <c r="D3" s="94"/>
      <c r="E3" s="93">
        <f t="shared" si="1"/>
        <v>25400</v>
      </c>
      <c r="F3" s="109">
        <v>150.0</v>
      </c>
      <c r="G3" s="110"/>
      <c r="H3" s="111">
        <v>12.0</v>
      </c>
      <c r="I3" s="112">
        <f t="shared" si="2"/>
        <v>138</v>
      </c>
      <c r="J3" s="112">
        <f t="shared" si="3"/>
        <v>3505200</v>
      </c>
      <c r="K3" s="113"/>
      <c r="L3" s="112">
        <f t="shared" ref="L3:L4" si="6">P2</f>
        <v>4986436</v>
      </c>
      <c r="M3" s="112">
        <f t="shared" si="4"/>
        <v>8491636</v>
      </c>
      <c r="N3" s="113"/>
      <c r="O3" s="114"/>
      <c r="P3" s="115">
        <f t="shared" si="5"/>
        <v>8491636</v>
      </c>
      <c r="Q3" s="5"/>
    </row>
    <row r="4" ht="22.5" customHeight="1">
      <c r="A4" s="98">
        <v>45484.0</v>
      </c>
      <c r="B4" s="99" t="s">
        <v>116</v>
      </c>
      <c r="C4" s="88">
        <v>24960.0</v>
      </c>
      <c r="D4" s="89"/>
      <c r="E4" s="88">
        <f t="shared" si="1"/>
        <v>24960</v>
      </c>
      <c r="F4" s="100">
        <v>154.85</v>
      </c>
      <c r="G4" s="101"/>
      <c r="H4" s="102">
        <v>12.0</v>
      </c>
      <c r="I4" s="103">
        <f t="shared" si="2"/>
        <v>142.85</v>
      </c>
      <c r="J4" s="103">
        <f t="shared" si="3"/>
        <v>3565536</v>
      </c>
      <c r="K4" s="104"/>
      <c r="L4" s="103">
        <f t="shared" si="6"/>
        <v>8491636</v>
      </c>
      <c r="M4" s="103">
        <f t="shared" si="4"/>
        <v>12057172</v>
      </c>
      <c r="N4" s="104"/>
      <c r="O4" s="105"/>
      <c r="P4" s="106">
        <f t="shared" si="5"/>
        <v>12057172</v>
      </c>
      <c r="Q4" s="5"/>
    </row>
  </sheetData>
  <dataValidations>
    <dataValidation type="custom" allowBlank="1" showDropDown="1" sqref="A2:A4">
      <formula1>OR(NOT(ISERROR(DATEVALUE(A2))), AND(ISNUMBER(A2), LEFT(CELL("format", A2))="D"))</formula1>
    </dataValidation>
    <dataValidation type="custom" allowBlank="1" showDropDown="1" sqref="C2:G4 I2:N4 P2:P4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54" t="s">
        <v>101</v>
      </c>
      <c r="B1" s="54" t="s">
        <v>102</v>
      </c>
      <c r="C1" s="54" t="s">
        <v>117</v>
      </c>
      <c r="D1" s="54" t="s">
        <v>118</v>
      </c>
      <c r="E1" s="54" t="s">
        <v>119</v>
      </c>
      <c r="F1" s="73" t="s">
        <v>120</v>
      </c>
      <c r="G1" s="73" t="s">
        <v>108</v>
      </c>
      <c r="H1" s="73" t="s">
        <v>105</v>
      </c>
      <c r="I1" s="54" t="s">
        <v>121</v>
      </c>
      <c r="J1" s="73" t="s">
        <v>110</v>
      </c>
      <c r="K1" s="73" t="s">
        <v>122</v>
      </c>
      <c r="L1" s="73" t="s">
        <v>112</v>
      </c>
      <c r="M1" s="73" t="s">
        <v>3</v>
      </c>
      <c r="N1" s="73" t="s">
        <v>113</v>
      </c>
      <c r="O1" s="73" t="s">
        <v>114</v>
      </c>
      <c r="P1" s="73" t="s">
        <v>115</v>
      </c>
      <c r="Q1" s="5"/>
    </row>
    <row r="2" ht="22.5" customHeight="1">
      <c r="A2" s="98">
        <v>46061.0</v>
      </c>
      <c r="B2" s="99" t="s">
        <v>123</v>
      </c>
      <c r="C2" s="88">
        <v>22460.0</v>
      </c>
      <c r="D2" s="116">
        <v>14960.0</v>
      </c>
      <c r="E2" s="88">
        <f t="shared" ref="E2:E4" si="1">C2-D2</f>
        <v>7500</v>
      </c>
      <c r="F2" s="117">
        <v>0.08</v>
      </c>
      <c r="G2" s="102">
        <f t="shared" ref="G2:G4" si="2">E2*F2</f>
        <v>600</v>
      </c>
      <c r="H2" s="76">
        <f>E2-G2</f>
        <v>6900</v>
      </c>
      <c r="I2" s="103">
        <v>4900.0</v>
      </c>
      <c r="J2" s="103">
        <f t="shared" ref="J2:J4" si="3">H2*I2</f>
        <v>33810000</v>
      </c>
      <c r="K2" s="104"/>
      <c r="L2" s="104"/>
      <c r="M2" s="103">
        <f t="shared" ref="M2:M4" si="4">J2+L2+K2</f>
        <v>33810000</v>
      </c>
      <c r="N2" s="118">
        <v>2.561625E7</v>
      </c>
      <c r="O2" s="119" t="s">
        <v>124</v>
      </c>
      <c r="P2" s="106">
        <f t="shared" ref="P2:P4" si="5">M2-N2</f>
        <v>8193750</v>
      </c>
      <c r="Q2" s="5"/>
    </row>
    <row r="3" ht="22.5" customHeight="1">
      <c r="A3" s="107">
        <v>46062.0</v>
      </c>
      <c r="B3" s="114"/>
      <c r="C3" s="94"/>
      <c r="D3" s="94"/>
      <c r="E3" s="93">
        <f t="shared" si="1"/>
        <v>0</v>
      </c>
      <c r="F3" s="110"/>
      <c r="G3" s="111">
        <f t="shared" si="2"/>
        <v>0</v>
      </c>
      <c r="H3" s="79">
        <f t="shared" ref="H3:H4" si="6">I3-G3</f>
        <v>0</v>
      </c>
      <c r="I3" s="113"/>
      <c r="J3" s="112">
        <f t="shared" si="3"/>
        <v>0</v>
      </c>
      <c r="K3" s="113"/>
      <c r="L3" s="112">
        <f t="shared" ref="L3:L4" si="7">P2</f>
        <v>8193750</v>
      </c>
      <c r="M3" s="112">
        <f t="shared" si="4"/>
        <v>8193750</v>
      </c>
      <c r="N3" s="120">
        <v>3000000.0</v>
      </c>
      <c r="O3" s="121" t="s">
        <v>125</v>
      </c>
      <c r="P3" s="115">
        <f t="shared" si="5"/>
        <v>5193750</v>
      </c>
      <c r="Q3" s="5"/>
    </row>
    <row r="4" ht="22.5" customHeight="1">
      <c r="A4" s="98">
        <v>46064.0</v>
      </c>
      <c r="B4" s="105"/>
      <c r="C4" s="89"/>
      <c r="D4" s="89"/>
      <c r="E4" s="88">
        <f t="shared" si="1"/>
        <v>0</v>
      </c>
      <c r="F4" s="101"/>
      <c r="G4" s="102">
        <f t="shared" si="2"/>
        <v>0</v>
      </c>
      <c r="H4" s="76">
        <f t="shared" si="6"/>
        <v>0</v>
      </c>
      <c r="I4" s="104"/>
      <c r="J4" s="103">
        <f t="shared" si="3"/>
        <v>0</v>
      </c>
      <c r="K4" s="104"/>
      <c r="L4" s="103">
        <f t="shared" si="7"/>
        <v>5193750</v>
      </c>
      <c r="M4" s="103">
        <f t="shared" si="4"/>
        <v>5193750</v>
      </c>
      <c r="N4" s="118">
        <v>3188670.0</v>
      </c>
      <c r="O4" s="122" t="s">
        <v>125</v>
      </c>
      <c r="P4" s="106">
        <f t="shared" si="5"/>
        <v>2005080</v>
      </c>
      <c r="Q4" s="5"/>
    </row>
  </sheetData>
  <dataValidations>
    <dataValidation type="custom" allowBlank="1" showDropDown="1" sqref="A2:A4">
      <formula1>OR(NOT(ISERROR(DATEVALUE(A2))), AND(ISNUMBER(A2), LEFT(CELL("format", A2))="D"))</formula1>
    </dataValidation>
    <dataValidation type="custom" allowBlank="1" showDropDown="1" sqref="C2:F4 H2:N4 P2:P4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3" t="s">
        <v>126</v>
      </c>
      <c r="B1" s="124"/>
      <c r="C1" s="125">
        <v>22.0</v>
      </c>
      <c r="D1" s="126" t="s">
        <v>84</v>
      </c>
      <c r="E1" s="5"/>
      <c r="F1" s="5"/>
      <c r="G1" s="5"/>
      <c r="H1" s="127" t="s">
        <v>127</v>
      </c>
      <c r="I1" s="127" t="s">
        <v>128</v>
      </c>
      <c r="J1" s="5"/>
    </row>
    <row r="2">
      <c r="A2" s="128" t="s">
        <v>129</v>
      </c>
      <c r="B2" s="129" t="s">
        <v>130</v>
      </c>
      <c r="C2" s="129"/>
      <c r="D2" s="129"/>
      <c r="E2" s="5"/>
      <c r="F2" s="5"/>
      <c r="G2" s="5"/>
      <c r="H2" s="2" t="s">
        <v>131</v>
      </c>
      <c r="I2" s="82">
        <v>40.0</v>
      </c>
      <c r="J2" s="5"/>
    </row>
    <row r="3">
      <c r="A3" s="128" t="s">
        <v>132</v>
      </c>
      <c r="B3" s="129"/>
      <c r="C3" s="129"/>
      <c r="D3" s="129"/>
      <c r="E3" s="5"/>
      <c r="F3" s="5"/>
      <c r="G3" s="5"/>
      <c r="H3" s="2" t="s">
        <v>133</v>
      </c>
      <c r="I3" s="82">
        <v>20.0</v>
      </c>
      <c r="J3" s="5"/>
    </row>
    <row r="4">
      <c r="A4" s="128" t="s">
        <v>134</v>
      </c>
      <c r="B4" s="130"/>
      <c r="C4" s="131" t="s">
        <v>135</v>
      </c>
      <c r="D4" s="129"/>
      <c r="E4" s="5"/>
      <c r="F4" s="5"/>
      <c r="G4" s="5"/>
      <c r="H4" s="2" t="s">
        <v>136</v>
      </c>
      <c r="I4" s="82">
        <v>5.0</v>
      </c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</row>
    <row r="7">
      <c r="A7" s="132" t="s">
        <v>137</v>
      </c>
      <c r="B7" s="133" t="s">
        <v>130</v>
      </c>
      <c r="C7" s="134"/>
      <c r="D7" s="134"/>
      <c r="E7" s="134"/>
      <c r="F7" s="134"/>
      <c r="G7" s="134"/>
      <c r="H7" s="134"/>
      <c r="I7" s="135"/>
      <c r="J7" s="5"/>
    </row>
    <row r="8">
      <c r="A8" s="132" t="s">
        <v>138</v>
      </c>
      <c r="B8" s="132" t="s">
        <v>139</v>
      </c>
      <c r="C8" s="132" t="s">
        <v>140</v>
      </c>
      <c r="D8" s="132" t="s">
        <v>141</v>
      </c>
      <c r="E8" s="132" t="s">
        <v>142</v>
      </c>
      <c r="F8" s="133" t="s">
        <v>143</v>
      </c>
      <c r="G8" s="133" t="s">
        <v>144</v>
      </c>
      <c r="H8" s="133" t="s">
        <v>145</v>
      </c>
      <c r="I8" s="132" t="s">
        <v>101</v>
      </c>
      <c r="J8" s="5"/>
    </row>
    <row r="9">
      <c r="A9" s="136" t="s">
        <v>146</v>
      </c>
      <c r="B9" s="137">
        <v>2.0</v>
      </c>
      <c r="C9" s="138"/>
      <c r="D9" s="137">
        <f t="shared" ref="D9:D22" si="1">B9*C9</f>
        <v>0</v>
      </c>
      <c r="E9" s="138"/>
      <c r="F9" s="139">
        <f>D9*C1</f>
        <v>0</v>
      </c>
      <c r="G9" s="139">
        <f>B9*C1</f>
        <v>44</v>
      </c>
      <c r="H9" s="140"/>
      <c r="I9" s="141">
        <v>45802.0</v>
      </c>
      <c r="J9" s="5"/>
    </row>
    <row r="10">
      <c r="A10" s="142" t="s">
        <v>147</v>
      </c>
      <c r="B10" s="143">
        <v>0.5</v>
      </c>
      <c r="C10" s="143">
        <v>5.8</v>
      </c>
      <c r="D10" s="143">
        <f t="shared" si="1"/>
        <v>2.9</v>
      </c>
      <c r="E10" s="144"/>
      <c r="F10" s="145">
        <f>D10*C1</f>
        <v>63.8</v>
      </c>
      <c r="G10" s="145">
        <f>B10*C1</f>
        <v>11</v>
      </c>
      <c r="H10" s="146"/>
      <c r="I10" s="141">
        <v>45802.0</v>
      </c>
      <c r="J10" s="5"/>
    </row>
    <row r="11">
      <c r="A11" s="142" t="s">
        <v>148</v>
      </c>
      <c r="B11" s="143">
        <v>0.12</v>
      </c>
      <c r="C11" s="144"/>
      <c r="D11" s="143">
        <f t="shared" si="1"/>
        <v>0</v>
      </c>
      <c r="E11" s="144"/>
      <c r="F11" s="145">
        <f>D11*C1</f>
        <v>0</v>
      </c>
      <c r="G11" s="145">
        <f>B11*C1</f>
        <v>2.64</v>
      </c>
      <c r="H11" s="146"/>
      <c r="I11" s="141">
        <v>45802.0</v>
      </c>
      <c r="J11" s="5"/>
    </row>
    <row r="12">
      <c r="A12" s="142" t="s">
        <v>149</v>
      </c>
      <c r="B12" s="143">
        <v>0.2</v>
      </c>
      <c r="C12" s="144"/>
      <c r="D12" s="143">
        <f t="shared" si="1"/>
        <v>0</v>
      </c>
      <c r="E12" s="144"/>
      <c r="F12" s="147">
        <f>D12*C1</f>
        <v>0</v>
      </c>
      <c r="G12" s="147">
        <f>B12*C1</f>
        <v>4.4</v>
      </c>
      <c r="H12" s="146"/>
      <c r="I12" s="141">
        <v>45802.0</v>
      </c>
      <c r="J12" s="5"/>
    </row>
    <row r="13">
      <c r="A13" s="142" t="s">
        <v>150</v>
      </c>
      <c r="B13" s="143">
        <v>2.0</v>
      </c>
      <c r="C13" s="144"/>
      <c r="D13" s="143">
        <f t="shared" si="1"/>
        <v>0</v>
      </c>
      <c r="E13" s="144"/>
      <c r="F13" s="147">
        <f>D13*C1</f>
        <v>0</v>
      </c>
      <c r="G13" s="147">
        <f>B13*C1</f>
        <v>44</v>
      </c>
      <c r="H13" s="146"/>
      <c r="I13" s="141">
        <v>46019.0</v>
      </c>
      <c r="J13" s="5"/>
    </row>
    <row r="14">
      <c r="A14" s="142" t="s">
        <v>151</v>
      </c>
      <c r="B14" s="143">
        <v>2.0</v>
      </c>
      <c r="C14" s="144"/>
      <c r="D14" s="143">
        <f t="shared" si="1"/>
        <v>0</v>
      </c>
      <c r="E14" s="144"/>
      <c r="F14" s="147">
        <f>D14*C1</f>
        <v>0</v>
      </c>
      <c r="G14" s="147">
        <f>B14*C1</f>
        <v>44</v>
      </c>
      <c r="H14" s="146"/>
      <c r="I14" s="148"/>
      <c r="J14" s="5"/>
    </row>
    <row r="15">
      <c r="A15" s="142" t="s">
        <v>146</v>
      </c>
      <c r="B15" s="143">
        <v>2.0</v>
      </c>
      <c r="C15" s="144"/>
      <c r="D15" s="143">
        <f t="shared" si="1"/>
        <v>0</v>
      </c>
      <c r="E15" s="144"/>
      <c r="F15" s="147">
        <f>D15*C1</f>
        <v>0</v>
      </c>
      <c r="G15" s="147">
        <f>B15*C1</f>
        <v>44</v>
      </c>
      <c r="H15" s="146"/>
      <c r="I15" s="148"/>
      <c r="J15" s="5"/>
    </row>
    <row r="16">
      <c r="A16" s="142" t="s">
        <v>152</v>
      </c>
      <c r="B16" s="143">
        <v>0.07</v>
      </c>
      <c r="C16" s="144"/>
      <c r="D16" s="143">
        <f t="shared" si="1"/>
        <v>0</v>
      </c>
      <c r="E16" s="144"/>
      <c r="F16" s="147">
        <f>D16*C1</f>
        <v>0</v>
      </c>
      <c r="G16" s="147">
        <f>B16*C1</f>
        <v>1.54</v>
      </c>
      <c r="H16" s="146"/>
      <c r="I16" s="148"/>
      <c r="J16" s="5"/>
    </row>
    <row r="17">
      <c r="A17" s="142" t="s">
        <v>153</v>
      </c>
      <c r="B17" s="144"/>
      <c r="C17" s="144"/>
      <c r="D17" s="143">
        <f t="shared" si="1"/>
        <v>0</v>
      </c>
      <c r="E17" s="144"/>
      <c r="F17" s="147">
        <f>D17*C1</f>
        <v>0</v>
      </c>
      <c r="G17" s="147">
        <f>B17*C1</f>
        <v>0</v>
      </c>
      <c r="H17" s="146"/>
      <c r="I17" s="148"/>
      <c r="J17" s="5"/>
    </row>
    <row r="18">
      <c r="A18" s="142" t="s">
        <v>136</v>
      </c>
      <c r="B18" s="143">
        <v>1.0</v>
      </c>
      <c r="C18" s="143">
        <v>5.0</v>
      </c>
      <c r="D18" s="143">
        <f t="shared" si="1"/>
        <v>5</v>
      </c>
      <c r="E18" s="144"/>
      <c r="F18" s="147">
        <f>D18*C1</f>
        <v>110</v>
      </c>
      <c r="G18" s="146"/>
      <c r="H18" s="146"/>
      <c r="I18" s="141">
        <v>46019.0</v>
      </c>
      <c r="J18" s="5"/>
    </row>
    <row r="19">
      <c r="A19" s="142" t="s">
        <v>154</v>
      </c>
      <c r="B19" s="143">
        <f>50/22</f>
        <v>2.272727273</v>
      </c>
      <c r="C19" s="144"/>
      <c r="D19" s="143">
        <f t="shared" si="1"/>
        <v>0</v>
      </c>
      <c r="E19" s="144"/>
      <c r="F19" s="147">
        <f>D19*C1</f>
        <v>0</v>
      </c>
      <c r="G19" s="147">
        <f>B19*C1</f>
        <v>50</v>
      </c>
      <c r="H19" s="146"/>
      <c r="I19" s="141">
        <v>46031.0</v>
      </c>
      <c r="J19" s="5"/>
    </row>
    <row r="20">
      <c r="A20" s="144" t="s">
        <v>155</v>
      </c>
      <c r="B20" s="149">
        <f>30/22</f>
        <v>1.363636364</v>
      </c>
      <c r="C20" s="144"/>
      <c r="D20" s="143">
        <f t="shared" si="1"/>
        <v>0</v>
      </c>
      <c r="E20" s="144"/>
      <c r="F20" s="147">
        <f>D20*C1</f>
        <v>0</v>
      </c>
      <c r="G20" s="147">
        <f>B20*C1</f>
        <v>30</v>
      </c>
      <c r="H20" s="146"/>
      <c r="I20" s="148"/>
      <c r="J20" s="5"/>
    </row>
    <row r="21">
      <c r="A21" s="144" t="s">
        <v>156</v>
      </c>
      <c r="B21" s="149">
        <f>3/22</f>
        <v>0.1363636364</v>
      </c>
      <c r="C21" s="144"/>
      <c r="D21" s="143">
        <f t="shared" si="1"/>
        <v>0</v>
      </c>
      <c r="E21" s="144"/>
      <c r="F21" s="147">
        <f>D21*C1</f>
        <v>0</v>
      </c>
      <c r="G21" s="147">
        <f>B21*C1</f>
        <v>3</v>
      </c>
      <c r="H21" s="146"/>
      <c r="I21" s="148"/>
      <c r="J21" s="5"/>
    </row>
    <row r="22">
      <c r="A22" s="144" t="s">
        <v>157</v>
      </c>
      <c r="B22" s="149">
        <f>20/22</f>
        <v>0.9090909091</v>
      </c>
      <c r="C22" s="144"/>
      <c r="D22" s="143">
        <f t="shared" si="1"/>
        <v>0</v>
      </c>
      <c r="E22" s="144"/>
      <c r="F22" s="147">
        <f>D22*C1</f>
        <v>0</v>
      </c>
      <c r="G22" s="147">
        <f>B22*C1</f>
        <v>20</v>
      </c>
      <c r="H22" s="146"/>
      <c r="I22" s="148"/>
      <c r="J22" s="5"/>
    </row>
  </sheetData>
  <mergeCells count="2">
    <mergeCell ref="A1:B1"/>
    <mergeCell ref="B7:I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0.63"/>
    <col customWidth="1" min="5" max="5" width="20.0"/>
    <col customWidth="1" min="11" max="11" width="17.13"/>
  </cols>
  <sheetData>
    <row r="1" ht="22.5" customHeight="1">
      <c r="A1" s="55" t="s">
        <v>158</v>
      </c>
      <c r="B1" s="55" t="s">
        <v>159</v>
      </c>
      <c r="C1" s="55" t="s">
        <v>160</v>
      </c>
      <c r="D1" s="55" t="s">
        <v>161</v>
      </c>
      <c r="E1" s="150" t="s">
        <v>162</v>
      </c>
      <c r="F1" s="150" t="s">
        <v>163</v>
      </c>
      <c r="G1" s="55" t="s">
        <v>164</v>
      </c>
      <c r="H1" s="55" t="s">
        <v>165</v>
      </c>
      <c r="I1" s="55" t="s">
        <v>166</v>
      </c>
      <c r="J1" s="55" t="s">
        <v>167</v>
      </c>
      <c r="K1" s="55" t="s">
        <v>168</v>
      </c>
      <c r="L1" s="150" t="s">
        <v>169</v>
      </c>
      <c r="M1" s="55" t="s">
        <v>170</v>
      </c>
    </row>
    <row r="2" ht="22.5" customHeight="1">
      <c r="A2" s="151" t="s">
        <v>171</v>
      </c>
      <c r="B2" s="152">
        <v>123.0</v>
      </c>
      <c r="C2" s="153" t="s">
        <v>172</v>
      </c>
      <c r="D2" s="87" t="s">
        <v>173</v>
      </c>
      <c r="E2" s="154" t="s">
        <v>174</v>
      </c>
      <c r="F2" s="155">
        <v>45736.0</v>
      </c>
      <c r="G2" s="156"/>
      <c r="H2" s="156"/>
      <c r="I2" s="157">
        <v>555.0</v>
      </c>
      <c r="J2" s="97"/>
      <c r="K2" s="97"/>
      <c r="L2" s="158"/>
      <c r="M2" s="159"/>
    </row>
    <row r="3" ht="22.5" customHeight="1">
      <c r="A3" s="160" t="s">
        <v>175</v>
      </c>
      <c r="B3" s="161">
        <v>123.0</v>
      </c>
      <c r="C3" s="162" t="s">
        <v>172</v>
      </c>
      <c r="D3" s="92" t="s">
        <v>176</v>
      </c>
      <c r="E3" s="154" t="s">
        <v>174</v>
      </c>
      <c r="F3" s="163">
        <v>45736.0</v>
      </c>
      <c r="G3" s="164"/>
      <c r="H3" s="164"/>
      <c r="I3" s="165">
        <v>555555.0</v>
      </c>
      <c r="J3" s="166"/>
      <c r="K3" s="166"/>
      <c r="L3" s="167"/>
      <c r="M3" s="168"/>
    </row>
    <row r="4" ht="22.5" customHeight="1">
      <c r="A4" s="151" t="s">
        <v>177</v>
      </c>
      <c r="B4" s="152">
        <v>123.0</v>
      </c>
      <c r="C4" s="153" t="s">
        <v>172</v>
      </c>
      <c r="D4" s="87" t="s">
        <v>178</v>
      </c>
      <c r="E4" s="154" t="s">
        <v>174</v>
      </c>
      <c r="F4" s="155">
        <v>46101.0</v>
      </c>
      <c r="G4" s="156"/>
      <c r="H4" s="155">
        <v>46133.0</v>
      </c>
      <c r="I4" s="157">
        <v>55555.0</v>
      </c>
      <c r="J4" s="87" t="s">
        <v>179</v>
      </c>
      <c r="K4" s="87" t="s">
        <v>180</v>
      </c>
      <c r="L4" s="158"/>
      <c r="M4" s="169" t="s">
        <v>181</v>
      </c>
    </row>
    <row r="5" ht="22.5" customHeight="1">
      <c r="A5" s="160" t="s">
        <v>182</v>
      </c>
      <c r="B5" s="161">
        <v>123.0</v>
      </c>
      <c r="C5" s="162" t="s">
        <v>172</v>
      </c>
      <c r="D5" s="92" t="s">
        <v>183</v>
      </c>
      <c r="E5" s="154" t="s">
        <v>174</v>
      </c>
      <c r="F5" s="163">
        <v>46118.0</v>
      </c>
      <c r="G5" s="164"/>
      <c r="H5" s="163">
        <v>46137.0</v>
      </c>
      <c r="I5" s="165">
        <v>55555.0</v>
      </c>
      <c r="J5" s="92" t="s">
        <v>184</v>
      </c>
      <c r="K5" s="166"/>
      <c r="L5" s="167"/>
      <c r="M5" s="170" t="s">
        <v>181</v>
      </c>
    </row>
    <row r="6" ht="22.5" customHeight="1">
      <c r="A6" s="151" t="s">
        <v>177</v>
      </c>
      <c r="B6" s="152">
        <v>123.0</v>
      </c>
      <c r="C6" s="153" t="s">
        <v>172</v>
      </c>
      <c r="D6" s="87" t="s">
        <v>178</v>
      </c>
      <c r="E6" s="154" t="s">
        <v>174</v>
      </c>
      <c r="F6" s="155">
        <v>46101.0</v>
      </c>
      <c r="G6" s="156"/>
      <c r="H6" s="155">
        <v>46140.0</v>
      </c>
      <c r="I6" s="157">
        <v>55555.0</v>
      </c>
      <c r="J6" s="87" t="s">
        <v>185</v>
      </c>
      <c r="K6" s="97"/>
      <c r="L6" s="158"/>
      <c r="M6" s="169" t="s">
        <v>181</v>
      </c>
    </row>
  </sheetData>
  <dataValidations>
    <dataValidation type="list" allowBlank="1" sqref="C2:C6">
      <formula1>"Fisico,Electronico "</formula1>
    </dataValidation>
    <dataValidation type="list" allowBlank="1" sqref="L2:L6">
      <formula1>"Pago,Pendiente,Rechazado,Depositado"</formula1>
    </dataValidation>
    <dataValidation type="custom" allowBlank="1" showDropDown="1" sqref="B2:B6 I2:I6">
      <formula1>AND(ISNUMBER(B2),(NOT(OR(NOT(ISERROR(DATEVALUE(B2))), AND(ISNUMBER(B2), LEFT(CELL("format", B2))="D")))))</formula1>
    </dataValidation>
    <dataValidation type="custom" allowBlank="1" showDropDown="1" sqref="G2:H6">
      <formula1>OR(NOT(ISERROR(DATEVALUE(G2))), AND(ISNUMBER(G2), LEFT(CELL("format", G2))="D"))</formula1>
    </dataValidation>
    <dataValidation type="custom" allowBlank="1" showDropDown="1" sqref="F2:F6">
      <formula1>OR(NOT(ISERROR(DATEVALUE(F2))), AND(ISNUMBER(F2), LEFT(CELL("format", F2))="D"))</formula1>
    </dataValidation>
    <dataValidation allowBlank="1" showDropDown="1" sqref="A2:A6 D2:D6 J2:K6"/>
    <dataValidation type="custom" allowBlank="1" showDropDown="1" sqref="E2:E6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38"/>
    <col customWidth="1" min="4" max="4" width="16.38"/>
  </cols>
  <sheetData>
    <row r="1" ht="22.5" customHeight="1">
      <c r="A1" s="55" t="s">
        <v>166</v>
      </c>
      <c r="B1" s="55" t="s">
        <v>186</v>
      </c>
      <c r="C1" s="55" t="s">
        <v>187</v>
      </c>
    </row>
    <row r="2" ht="22.5" customHeight="1">
      <c r="A2" s="171">
        <v>1000000.0</v>
      </c>
      <c r="B2" s="172" t="s">
        <v>188</v>
      </c>
      <c r="C2" s="155">
        <v>45902.0</v>
      </c>
    </row>
    <row r="3" ht="22.5" customHeight="1">
      <c r="A3" s="173">
        <v>1000000.0</v>
      </c>
      <c r="B3" s="174" t="s">
        <v>189</v>
      </c>
      <c r="C3" s="163">
        <v>45903.0</v>
      </c>
    </row>
    <row r="4" ht="22.5" customHeight="1">
      <c r="A4" s="171">
        <v>60000.0</v>
      </c>
      <c r="B4" s="172" t="s">
        <v>190</v>
      </c>
      <c r="C4" s="155">
        <v>45903.0</v>
      </c>
    </row>
    <row r="5" ht="22.5" customHeight="1">
      <c r="A5" s="173">
        <v>20000.0</v>
      </c>
      <c r="B5" s="174" t="s">
        <v>191</v>
      </c>
      <c r="C5" s="163">
        <v>45905.0</v>
      </c>
    </row>
    <row r="6" ht="22.5" customHeight="1">
      <c r="A6" s="171">
        <v>12516.26</v>
      </c>
      <c r="B6" s="172" t="s">
        <v>192</v>
      </c>
      <c r="C6" s="155">
        <v>45907.0</v>
      </c>
    </row>
    <row r="9">
      <c r="A9" s="175" t="s">
        <v>193</v>
      </c>
      <c r="B9" s="176"/>
    </row>
    <row r="10">
      <c r="A10" s="177" t="s">
        <v>194</v>
      </c>
      <c r="B10" s="178"/>
      <c r="C10" s="72"/>
      <c r="D10" s="5"/>
      <c r="E10" s="179"/>
      <c r="F10" s="180"/>
      <c r="G10" s="5"/>
      <c r="H10" s="5"/>
      <c r="I10" s="5"/>
    </row>
    <row r="11">
      <c r="A11" s="5"/>
      <c r="B11" s="5"/>
      <c r="C11" s="72"/>
      <c r="D11" s="5"/>
      <c r="E11" s="179"/>
      <c r="F11" s="72"/>
      <c r="G11" s="5"/>
      <c r="H11" s="5"/>
      <c r="I11" s="5"/>
    </row>
    <row r="12">
      <c r="A12" s="181" t="s">
        <v>195</v>
      </c>
      <c r="B12" s="181" t="s">
        <v>196</v>
      </c>
      <c r="C12" s="182" t="s">
        <v>197</v>
      </c>
      <c r="D12" s="181" t="s">
        <v>198</v>
      </c>
      <c r="E12" s="179"/>
      <c r="F12" s="182" t="s">
        <v>199</v>
      </c>
      <c r="G12" s="183">
        <f>D13+I17</f>
        <v>320000</v>
      </c>
      <c r="H12" s="184"/>
      <c r="I12" s="5"/>
    </row>
    <row r="13">
      <c r="A13" s="185">
        <v>10.0</v>
      </c>
      <c r="B13" s="185">
        <v>1.0</v>
      </c>
      <c r="C13" s="186">
        <v>30000.0</v>
      </c>
      <c r="D13" s="187">
        <f>(A13-B13)*C13</f>
        <v>270000</v>
      </c>
      <c r="E13" s="179"/>
      <c r="F13" s="3" t="s">
        <v>200</v>
      </c>
      <c r="G13" s="188">
        <f>SUM(Gastos_empleados[Monto])</f>
        <v>3700</v>
      </c>
      <c r="H13" s="189"/>
      <c r="I13" s="5"/>
    </row>
    <row r="14">
      <c r="A14" s="5"/>
      <c r="B14" s="5"/>
      <c r="C14" s="72"/>
      <c r="D14" s="5"/>
      <c r="E14" s="179"/>
      <c r="F14" s="3" t="s">
        <v>198</v>
      </c>
      <c r="G14" s="188">
        <f>G12-G13</f>
        <v>316300</v>
      </c>
      <c r="H14" s="189"/>
      <c r="I14" s="5"/>
    </row>
    <row r="15">
      <c r="A15" s="5"/>
      <c r="B15" s="5"/>
      <c r="C15" s="5"/>
      <c r="D15" s="5"/>
      <c r="E15" s="179"/>
      <c r="F15" s="180"/>
      <c r="G15" s="5"/>
      <c r="H15" s="5"/>
      <c r="I15" s="5"/>
    </row>
    <row r="16" ht="22.5" customHeight="1">
      <c r="A16" s="54" t="s">
        <v>166</v>
      </c>
      <c r="B16" s="54" t="s">
        <v>186</v>
      </c>
      <c r="C16" s="54" t="s">
        <v>169</v>
      </c>
      <c r="D16" s="54" t="s">
        <v>187</v>
      </c>
      <c r="E16" s="54" t="s">
        <v>201</v>
      </c>
      <c r="F16" s="190" t="s">
        <v>97</v>
      </c>
      <c r="G16" s="5"/>
      <c r="H16" s="1" t="s">
        <v>202</v>
      </c>
      <c r="I16" s="1" t="s">
        <v>55</v>
      </c>
    </row>
    <row r="17" ht="22.5" customHeight="1">
      <c r="A17" s="191">
        <v>1200.0</v>
      </c>
      <c r="B17" s="87" t="s">
        <v>203</v>
      </c>
      <c r="C17" s="192" t="s">
        <v>204</v>
      </c>
      <c r="D17" s="155">
        <v>46115.0</v>
      </c>
      <c r="E17" s="156"/>
      <c r="F17" s="193"/>
      <c r="G17" s="5"/>
      <c r="H17" s="185" t="s">
        <v>205</v>
      </c>
      <c r="I17" s="194">
        <v>50000.0</v>
      </c>
    </row>
    <row r="18" ht="22.5" customHeight="1">
      <c r="A18" s="195">
        <v>2500.0</v>
      </c>
      <c r="B18" s="92" t="s">
        <v>206</v>
      </c>
      <c r="C18" s="196" t="s">
        <v>204</v>
      </c>
      <c r="D18" s="163">
        <v>46128.0</v>
      </c>
      <c r="E18" s="164"/>
      <c r="F18" s="197"/>
      <c r="G18" s="5"/>
      <c r="H18" s="2"/>
      <c r="I18" s="198"/>
    </row>
    <row r="19" ht="22.5" customHeight="1">
      <c r="A19" s="199"/>
      <c r="B19" s="97"/>
      <c r="C19" s="158"/>
      <c r="D19" s="156"/>
      <c r="E19" s="156"/>
      <c r="F19" s="193"/>
      <c r="G19" s="5"/>
      <c r="H19" s="2"/>
      <c r="I19" s="2"/>
    </row>
    <row r="23" ht="22.5" customHeight="1">
      <c r="A23" s="54" t="s">
        <v>207</v>
      </c>
      <c r="B23" s="54" t="s">
        <v>208</v>
      </c>
      <c r="C23" s="54" t="s">
        <v>166</v>
      </c>
      <c r="D23" s="73" t="s">
        <v>5</v>
      </c>
      <c r="E23" s="54" t="s">
        <v>209</v>
      </c>
      <c r="F23" s="5"/>
      <c r="G23" s="5"/>
      <c r="H23" s="5"/>
    </row>
    <row r="24" ht="22.5" customHeight="1">
      <c r="A24" s="200"/>
      <c r="B24" s="201" t="s">
        <v>210</v>
      </c>
      <c r="C24" s="103">
        <v>132013.57</v>
      </c>
      <c r="D24" s="104"/>
      <c r="E24" s="202"/>
      <c r="F24" s="5"/>
      <c r="G24" s="5"/>
      <c r="H24" s="5"/>
    </row>
    <row r="25" ht="22.5" customHeight="1">
      <c r="A25" s="203"/>
      <c r="B25" s="204" t="s">
        <v>211</v>
      </c>
      <c r="C25" s="112">
        <v>60336.74</v>
      </c>
      <c r="D25" s="113"/>
      <c r="E25" s="205"/>
      <c r="F25" s="5"/>
      <c r="G25" s="2" t="s">
        <v>212</v>
      </c>
      <c r="H25" s="187">
        <v>1200000.0</v>
      </c>
    </row>
    <row r="26" ht="22.5" customHeight="1">
      <c r="A26" s="206">
        <v>46093.0</v>
      </c>
      <c r="B26" s="192" t="s">
        <v>213</v>
      </c>
      <c r="C26" s="103">
        <v>2000.0</v>
      </c>
      <c r="D26" s="104"/>
      <c r="E26" s="207" t="s">
        <v>214</v>
      </c>
      <c r="F26" s="5"/>
      <c r="G26" s="2" t="s">
        <v>215</v>
      </c>
      <c r="H26" s="4" t="str">
        <f>SUM(Vicki!$C$2:$C$15)</f>
        <v>#REF!</v>
      </c>
    </row>
    <row r="27" ht="22.5" customHeight="1">
      <c r="A27" s="203"/>
      <c r="B27" s="167"/>
      <c r="C27" s="113"/>
      <c r="D27" s="113"/>
      <c r="E27" s="205"/>
      <c r="F27" s="5"/>
      <c r="G27" s="2" t="s">
        <v>216</v>
      </c>
      <c r="H27" s="208" t="str">
        <f>SUM(Vicki!$D$2:$D$15)</f>
        <v>#REF!</v>
      </c>
    </row>
    <row r="28" ht="22.5" customHeight="1">
      <c r="A28" s="200"/>
      <c r="B28" s="158"/>
      <c r="C28" s="104"/>
      <c r="D28" s="104"/>
      <c r="E28" s="202"/>
      <c r="F28" s="5"/>
      <c r="G28" s="2" t="s">
        <v>217</v>
      </c>
      <c r="H28" s="187" t="str">
        <f>H25+H26-H27</f>
        <v>#REF!</v>
      </c>
    </row>
    <row r="29" ht="22.5" customHeight="1">
      <c r="A29" s="203"/>
      <c r="B29" s="167"/>
      <c r="C29" s="113"/>
      <c r="D29" s="113"/>
      <c r="E29" s="205"/>
      <c r="F29" s="5"/>
      <c r="G29" s="5"/>
      <c r="H29" s="5"/>
    </row>
  </sheetData>
  <mergeCells count="1">
    <mergeCell ref="A10:B10"/>
  </mergeCells>
  <dataValidations>
    <dataValidation type="list" allowBlank="1" sqref="B24:B29">
      <formula1>"Monotributo,Mutual,Otro,Adelanto"</formula1>
    </dataValidation>
    <dataValidation type="custom" allowBlank="1" showDropDown="1" sqref="A2:A6 A17:A19 C24:C29">
      <formula1>AND(ISNUMBER(A2),(NOT(OR(NOT(ISERROR(DATEVALUE(A2))), AND(ISNUMBER(A2), LEFT(CELL("format", A2))="D")))))</formula1>
    </dataValidation>
    <dataValidation type="custom" allowBlank="1" showDropDown="1" sqref="C2:C6 D17:E19 A24:A29">
      <formula1>OR(NOT(ISERROR(DATEVALUE(A2))), AND(ISNUMBER(A2), LEFT(CELL("format", A2))="D"))</formula1>
    </dataValidation>
    <dataValidation allowBlank="1" showDropDown="1" sqref="B2:B6 B17:B19 F17:F19 E24:E29"/>
    <dataValidation type="list" allowBlank="1" sqref="C17:C19">
      <formula1>"Pendiente,Pagado"</formula1>
    </dataValidation>
    <dataValidation type="custom" allowBlank="1" showDropDown="1" sqref="D24:D29">
      <formula1>AND(ISNUMBER(D24),(NOT(OR(NOT(ISERROR(DATEVALUE(D24))), AND(ISNUMBER(D24), LEFT(CELL("format", D24))="D")))))</formula1>
    </dataValidation>
  </dataValidations>
  <drawing r:id="rId1"/>
  <tableParts count="3"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55" t="s">
        <v>218</v>
      </c>
      <c r="B1" s="55" t="s">
        <v>219</v>
      </c>
      <c r="C1" s="55" t="s">
        <v>220</v>
      </c>
      <c r="D1" s="55" t="s">
        <v>169</v>
      </c>
      <c r="E1" s="150" t="s">
        <v>221</v>
      </c>
      <c r="F1" s="150" t="s">
        <v>3</v>
      </c>
      <c r="G1" s="55" t="s">
        <v>222</v>
      </c>
      <c r="H1" s="55" t="s">
        <v>97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22.5" customHeight="1">
      <c r="A2" s="209">
        <v>46082.0</v>
      </c>
      <c r="B2" s="210" t="s">
        <v>223</v>
      </c>
      <c r="C2" s="88">
        <v>18.0</v>
      </c>
      <c r="D2" s="192" t="s">
        <v>224</v>
      </c>
      <c r="E2" s="103">
        <v>11500.0</v>
      </c>
      <c r="F2" s="103">
        <f t="shared" ref="F2:F7" si="1">C2*E2</f>
        <v>207000</v>
      </c>
      <c r="G2" s="87" t="s">
        <v>225</v>
      </c>
      <c r="H2" s="19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22.5" customHeight="1">
      <c r="A3" s="211">
        <v>46082.0</v>
      </c>
      <c r="B3" s="212" t="s">
        <v>223</v>
      </c>
      <c r="C3" s="93">
        <v>14.0</v>
      </c>
      <c r="D3" s="196" t="s">
        <v>224</v>
      </c>
      <c r="E3" s="112">
        <v>10000.0</v>
      </c>
      <c r="F3" s="112">
        <f t="shared" si="1"/>
        <v>140000</v>
      </c>
      <c r="G3" s="92" t="s">
        <v>226</v>
      </c>
      <c r="H3" s="19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ht="22.5" customHeight="1">
      <c r="A4" s="209">
        <v>46082.0</v>
      </c>
      <c r="B4" s="210" t="s">
        <v>223</v>
      </c>
      <c r="C4" s="88">
        <v>11.0</v>
      </c>
      <c r="D4" s="192" t="s">
        <v>224</v>
      </c>
      <c r="E4" s="103">
        <v>10000.0</v>
      </c>
      <c r="F4" s="103">
        <f t="shared" si="1"/>
        <v>110000</v>
      </c>
      <c r="G4" s="87" t="s">
        <v>227</v>
      </c>
      <c r="H4" s="19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22.5" customHeight="1">
      <c r="A5" s="211">
        <v>46082.0</v>
      </c>
      <c r="B5" s="212" t="s">
        <v>228</v>
      </c>
      <c r="C5" s="93">
        <v>10.0</v>
      </c>
      <c r="D5" s="196" t="s">
        <v>224</v>
      </c>
      <c r="E5" s="112">
        <v>11500.0</v>
      </c>
      <c r="F5" s="112">
        <f t="shared" si="1"/>
        <v>115000</v>
      </c>
      <c r="G5" s="92" t="s">
        <v>229</v>
      </c>
      <c r="H5" s="197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22.5" customHeight="1">
      <c r="A6" s="209">
        <v>46090.0</v>
      </c>
      <c r="B6" s="210" t="s">
        <v>230</v>
      </c>
      <c r="C6" s="88">
        <v>9.0</v>
      </c>
      <c r="D6" s="213" t="s">
        <v>231</v>
      </c>
      <c r="E6" s="103">
        <v>11500.0</v>
      </c>
      <c r="F6" s="103">
        <f t="shared" si="1"/>
        <v>103500</v>
      </c>
      <c r="G6" s="97"/>
      <c r="H6" s="193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22.5" customHeight="1">
      <c r="A7" s="211">
        <v>46090.0</v>
      </c>
      <c r="B7" s="212" t="s">
        <v>223</v>
      </c>
      <c r="C7" s="93">
        <v>14.0</v>
      </c>
      <c r="D7" s="214" t="s">
        <v>231</v>
      </c>
      <c r="E7" s="112">
        <v>10000.0</v>
      </c>
      <c r="F7" s="112">
        <f t="shared" si="1"/>
        <v>140000</v>
      </c>
      <c r="G7" s="166"/>
      <c r="H7" s="197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</sheetData>
  <dataValidations>
    <dataValidation type="list" allowBlank="1" sqref="D2:D7">
      <formula1>"No pago,Pago"</formula1>
    </dataValidation>
    <dataValidation type="custom" allowBlank="1" showDropDown="1" sqref="A2:A7">
      <formula1>OR(NOT(ISERROR(DATEVALUE(A2))), AND(ISNUMBER(A2), LEFT(CELL("format", A2))="D"))</formula1>
    </dataValidation>
    <dataValidation type="list" allowBlank="1" sqref="B2:B7">
      <formula1>"Lechon,Cordero,Pollo,Chivito,Avena,Centeno,Maiz,Fardos,Rollos,Megafardos,Carne "</formula1>
    </dataValidation>
    <dataValidation type="custom" allowBlank="1" showDropDown="1" sqref="C2:C7">
      <formula1>AND(ISNUMBER(C2),(NOT(OR(NOT(ISERROR(DATEVALUE(C2))), AND(ISNUMBER(C2), LEFT(CELL("format", C2))="D")))))</formula1>
    </dataValidation>
    <dataValidation allowBlank="1" showDropDown="1" sqref="G2:H7"/>
    <dataValidation type="custom" allowBlank="1" showDropDown="1" sqref="E2:F7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3" max="3" width="16.5"/>
  </cols>
  <sheetData>
    <row r="1" ht="22.5" customHeight="1">
      <c r="A1" s="55" t="s">
        <v>232</v>
      </c>
      <c r="B1" s="55" t="s">
        <v>233</v>
      </c>
      <c r="C1" s="55" t="s">
        <v>234</v>
      </c>
      <c r="D1" s="55" t="s">
        <v>235</v>
      </c>
      <c r="E1" s="55" t="s">
        <v>236</v>
      </c>
      <c r="F1" s="55" t="s">
        <v>237</v>
      </c>
      <c r="G1" s="55" t="s">
        <v>145</v>
      </c>
    </row>
    <row r="2" ht="22.5" customHeight="1">
      <c r="A2" s="215" t="s">
        <v>238</v>
      </c>
      <c r="B2" s="59">
        <v>240000.0</v>
      </c>
      <c r="C2" s="216" t="s">
        <v>239</v>
      </c>
      <c r="D2" s="155">
        <v>45943.0</v>
      </c>
      <c r="E2" s="217" t="s">
        <v>240</v>
      </c>
      <c r="F2" s="218" t="s">
        <v>241</v>
      </c>
      <c r="G2" s="87" t="s">
        <v>242</v>
      </c>
    </row>
    <row r="3" ht="22.5" customHeight="1">
      <c r="A3" s="219" t="s">
        <v>243</v>
      </c>
      <c r="B3" s="220">
        <v>809854.43</v>
      </c>
      <c r="C3" s="221" t="s">
        <v>244</v>
      </c>
      <c r="D3" s="164"/>
      <c r="E3" s="222" t="s">
        <v>245</v>
      </c>
      <c r="F3" s="223" t="s">
        <v>241</v>
      </c>
      <c r="G3" s="92" t="s">
        <v>246</v>
      </c>
    </row>
    <row r="4" ht="22.5" customHeight="1">
      <c r="A4" s="219" t="s">
        <v>247</v>
      </c>
      <c r="B4" s="220">
        <v>195105.46</v>
      </c>
      <c r="C4" s="216" t="s">
        <v>248</v>
      </c>
      <c r="D4" s="156"/>
      <c r="E4" s="217" t="s">
        <v>249</v>
      </c>
      <c r="F4" s="218" t="s">
        <v>241</v>
      </c>
      <c r="G4" s="87" t="s">
        <v>246</v>
      </c>
    </row>
  </sheetData>
  <dataValidations>
    <dataValidation type="list" allowBlank="1" sqref="F2:F4">
      <formula1>"Pagado,Pendiente "</formula1>
    </dataValidation>
    <dataValidation type="list" allowBlank="1" sqref="E2:E4">
      <formula1>"Alta,Media,Baja "</formula1>
    </dataValidation>
    <dataValidation type="custom" allowBlank="1" showDropDown="1" sqref="D2:D4">
      <formula1>OR(NOT(ISERROR(DATEVALUE(D2))), AND(ISNUMBER(D2), LEFT(CELL("format", D2))="D"))</formula1>
    </dataValidation>
    <dataValidation type="custom" allowBlank="1" showDropDown="1" sqref="B2:B4">
      <formula1>AND(ISNUMBER(B2),(NOT(OR(NOT(ISERROR(DATEVALUE(B2))), AND(ISNUMBER(B2), LEFT(CELL("format", B2))="D")))))</formula1>
    </dataValidation>
    <dataValidation allowBlank="1" showDropDown="1" sqref="A2:A4 G2:G4"/>
    <dataValidation type="list" allowBlank="1" sqref="C2:C4">
      <formula1>"Echeq,Transferencia,Efectivo"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55" t="s">
        <v>101</v>
      </c>
      <c r="B1" s="55" t="s">
        <v>250</v>
      </c>
      <c r="C1" s="55" t="s">
        <v>251</v>
      </c>
      <c r="D1" s="55" t="s">
        <v>252</v>
      </c>
      <c r="E1" s="55" t="s">
        <v>253</v>
      </c>
      <c r="F1" s="55" t="s">
        <v>254</v>
      </c>
      <c r="G1" s="55" t="s">
        <v>255</v>
      </c>
    </row>
    <row r="2" ht="22.5" customHeight="1">
      <c r="A2" s="224">
        <v>46086.0</v>
      </c>
      <c r="B2" s="103">
        <v>600000.0</v>
      </c>
      <c r="C2" s="225" t="s">
        <v>256</v>
      </c>
      <c r="D2" s="97"/>
      <c r="E2" s="104"/>
      <c r="F2" s="97"/>
      <c r="G2" s="226">
        <f>B2-E2</f>
        <v>600000</v>
      </c>
    </row>
    <row r="3" ht="22.5" customHeight="1">
      <c r="A3" s="227">
        <v>46087.0</v>
      </c>
      <c r="B3" s="113"/>
      <c r="C3" s="167"/>
      <c r="D3" s="166"/>
      <c r="E3" s="112">
        <v>290000.0</v>
      </c>
      <c r="F3" s="92" t="s">
        <v>257</v>
      </c>
      <c r="G3" s="228">
        <f t="shared" ref="G3:G7" si="1">B3+G2-E3</f>
        <v>310000</v>
      </c>
    </row>
    <row r="4" ht="22.5" customHeight="1">
      <c r="A4" s="224">
        <v>46087.0</v>
      </c>
      <c r="B4" s="103">
        <v>700.0</v>
      </c>
      <c r="C4" s="225" t="s">
        <v>256</v>
      </c>
      <c r="D4" s="87" t="s">
        <v>258</v>
      </c>
      <c r="E4" s="104"/>
      <c r="F4" s="97"/>
      <c r="G4" s="226">
        <f t="shared" si="1"/>
        <v>310700</v>
      </c>
    </row>
    <row r="5" ht="22.5" customHeight="1">
      <c r="A5" s="227">
        <v>46090.0</v>
      </c>
      <c r="B5" s="113"/>
      <c r="C5" s="167"/>
      <c r="D5" s="166"/>
      <c r="E5" s="112">
        <v>300000.0</v>
      </c>
      <c r="F5" s="92" t="s">
        <v>259</v>
      </c>
      <c r="G5" s="228">
        <f t="shared" si="1"/>
        <v>10700</v>
      </c>
    </row>
    <row r="6" ht="22.5" customHeight="1">
      <c r="A6" s="224">
        <v>46091.0</v>
      </c>
      <c r="B6" s="103">
        <v>132000.0</v>
      </c>
      <c r="C6" s="225" t="s">
        <v>256</v>
      </c>
      <c r="D6" s="87" t="s">
        <v>260</v>
      </c>
      <c r="E6" s="104"/>
      <c r="F6" s="97"/>
      <c r="G6" s="226">
        <f t="shared" si="1"/>
        <v>142700</v>
      </c>
    </row>
    <row r="7" ht="22.5" customHeight="1">
      <c r="A7" s="227">
        <v>46091.0</v>
      </c>
      <c r="B7" s="113"/>
      <c r="C7" s="167"/>
      <c r="D7" s="166"/>
      <c r="E7" s="112">
        <v>6600.0</v>
      </c>
      <c r="F7" s="92" t="s">
        <v>261</v>
      </c>
      <c r="G7" s="228">
        <f t="shared" si="1"/>
        <v>136100</v>
      </c>
    </row>
    <row r="10" ht="22.5" customHeight="1">
      <c r="A10" s="55" t="s">
        <v>101</v>
      </c>
      <c r="B10" s="55" t="s">
        <v>250</v>
      </c>
      <c r="C10" s="55" t="s">
        <v>251</v>
      </c>
      <c r="D10" s="55" t="s">
        <v>253</v>
      </c>
      <c r="E10" s="55" t="s">
        <v>254</v>
      </c>
      <c r="F10" s="55" t="s">
        <v>255</v>
      </c>
    </row>
    <row r="11" ht="22.5" customHeight="1">
      <c r="A11" s="224">
        <v>46086.0</v>
      </c>
      <c r="B11" s="103">
        <v>600000.0</v>
      </c>
      <c r="C11" s="225" t="s">
        <v>256</v>
      </c>
      <c r="D11" s="104"/>
      <c r="E11" s="97"/>
      <c r="F11" s="226">
        <f>B11-D11</f>
        <v>600000</v>
      </c>
    </row>
    <row r="12" ht="22.5" customHeight="1">
      <c r="A12" s="227">
        <v>46087.0</v>
      </c>
      <c r="B12" s="113"/>
      <c r="C12" s="167"/>
      <c r="D12" s="112">
        <v>290000.0</v>
      </c>
      <c r="E12" s="92" t="s">
        <v>257</v>
      </c>
      <c r="F12" s="228">
        <f t="shared" ref="F12:F15" si="2">B12+F11-D12</f>
        <v>310000</v>
      </c>
    </row>
    <row r="13" ht="22.5" customHeight="1">
      <c r="A13" s="224">
        <v>46087.0</v>
      </c>
      <c r="B13" s="103">
        <v>700.0</v>
      </c>
      <c r="C13" s="225" t="s">
        <v>256</v>
      </c>
      <c r="D13" s="104"/>
      <c r="E13" s="97"/>
      <c r="F13" s="226">
        <f t="shared" si="2"/>
        <v>310700</v>
      </c>
    </row>
    <row r="14" ht="22.5" customHeight="1">
      <c r="A14" s="227">
        <v>46090.0</v>
      </c>
      <c r="B14" s="113"/>
      <c r="C14" s="167"/>
      <c r="D14" s="112">
        <v>300000.0</v>
      </c>
      <c r="E14" s="92" t="s">
        <v>259</v>
      </c>
      <c r="F14" s="228">
        <f t="shared" si="2"/>
        <v>10700</v>
      </c>
    </row>
    <row r="15" ht="22.5" customHeight="1">
      <c r="A15" s="224">
        <v>46091.0</v>
      </c>
      <c r="B15" s="103">
        <v>132000.0</v>
      </c>
      <c r="C15" s="225" t="s">
        <v>256</v>
      </c>
      <c r="D15" s="104"/>
      <c r="E15" s="97"/>
      <c r="F15" s="226">
        <f t="shared" si="2"/>
        <v>142700</v>
      </c>
    </row>
    <row r="18" ht="22.5" customHeight="1">
      <c r="A18" s="55" t="s">
        <v>187</v>
      </c>
      <c r="B18" s="55" t="s">
        <v>262</v>
      </c>
      <c r="C18" s="55" t="s">
        <v>263</v>
      </c>
      <c r="D18" s="55" t="s">
        <v>264</v>
      </c>
      <c r="E18" s="55" t="s">
        <v>265</v>
      </c>
      <c r="F18" s="55" t="s">
        <v>186</v>
      </c>
      <c r="G18" s="55" t="s">
        <v>266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2.5" customHeight="1">
      <c r="A19" s="229">
        <v>46086.0</v>
      </c>
      <c r="B19" s="118">
        <v>160000.0</v>
      </c>
      <c r="C19" s="158"/>
      <c r="D19" s="104"/>
      <c r="E19" s="104"/>
      <c r="F19" s="193"/>
      <c r="G19" s="159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2.5" customHeight="1">
      <c r="A20" s="230">
        <v>46093.0</v>
      </c>
      <c r="B20" s="120">
        <v>700000.0</v>
      </c>
      <c r="C20" s="167"/>
      <c r="D20" s="113"/>
      <c r="E20" s="113"/>
      <c r="F20" s="231" t="s">
        <v>267</v>
      </c>
      <c r="G20" s="168"/>
      <c r="H20" s="232" t="s">
        <v>268</v>
      </c>
      <c r="I20" s="233"/>
      <c r="J20" s="233" t="s">
        <v>269</v>
      </c>
      <c r="K20" s="232"/>
      <c r="L20" s="233" t="s">
        <v>270</v>
      </c>
      <c r="M20" s="232"/>
      <c r="N20" s="234" t="s">
        <v>271</v>
      </c>
      <c r="O20" s="13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2.5" customHeight="1">
      <c r="A21" s="229">
        <v>46093.0</v>
      </c>
      <c r="B21" s="104"/>
      <c r="C21" s="235" t="s">
        <v>272</v>
      </c>
      <c r="D21" s="104"/>
      <c r="E21" s="118">
        <v>700000.0</v>
      </c>
      <c r="F21" s="236" t="s">
        <v>273</v>
      </c>
      <c r="G21" s="159"/>
      <c r="H21" s="237">
        <f>SUM(B18:B321)</f>
        <v>1460555</v>
      </c>
      <c r="I21" s="238"/>
      <c r="J21" s="239">
        <f>SUM(D18:D321)</f>
        <v>22666</v>
      </c>
      <c r="K21" s="135"/>
      <c r="L21" s="240">
        <f>SUM(E18:E321)</f>
        <v>1300000</v>
      </c>
      <c r="M21" s="135"/>
      <c r="N21" s="241">
        <f t="shared" ref="N21:N22" si="3">H21-J21-L21</f>
        <v>137889</v>
      </c>
      <c r="O21" s="13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2.5" customHeight="1">
      <c r="A22" s="230">
        <v>46093.0</v>
      </c>
      <c r="B22" s="120">
        <v>600000.0</v>
      </c>
      <c r="C22" s="167"/>
      <c r="D22" s="113"/>
      <c r="E22" s="113"/>
      <c r="F22" s="231" t="s">
        <v>274</v>
      </c>
      <c r="G22" s="168"/>
      <c r="H22" s="242"/>
      <c r="I22" s="130"/>
      <c r="J22" s="243"/>
      <c r="K22" s="244"/>
      <c r="L22" s="243"/>
      <c r="M22" s="130"/>
      <c r="N22" s="245">
        <f t="shared" si="3"/>
        <v>0</v>
      </c>
      <c r="O22" s="130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2.5" customHeight="1">
      <c r="A23" s="229">
        <v>46093.0</v>
      </c>
      <c r="B23" s="104"/>
      <c r="C23" s="235" t="s">
        <v>272</v>
      </c>
      <c r="D23" s="104"/>
      <c r="E23" s="103">
        <v>600000.0</v>
      </c>
      <c r="F23" s="246" t="s">
        <v>275</v>
      </c>
      <c r="G23" s="159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2.5" customHeight="1">
      <c r="A24" s="230">
        <v>46101.0</v>
      </c>
      <c r="B24" s="165">
        <v>555.0</v>
      </c>
      <c r="C24" s="167"/>
      <c r="D24" s="113"/>
      <c r="E24" s="113"/>
      <c r="F24" s="231"/>
      <c r="G24" s="168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2.5" customHeight="1">
      <c r="A25" s="229">
        <v>46112.0</v>
      </c>
      <c r="B25" s="104"/>
      <c r="C25" s="247" t="s">
        <v>276</v>
      </c>
      <c r="D25" s="248">
        <v>22666.0</v>
      </c>
      <c r="E25" s="104"/>
      <c r="F25" s="236" t="s">
        <v>277</v>
      </c>
      <c r="G25" s="159"/>
      <c r="H25" s="5"/>
      <c r="I25" s="5"/>
      <c r="J25" s="249"/>
      <c r="K25" s="249"/>
      <c r="L25" s="249"/>
      <c r="M25" s="249"/>
      <c r="N25" s="249"/>
      <c r="O25" s="249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</sheetData>
  <mergeCells count="5">
    <mergeCell ref="N20:O20"/>
    <mergeCell ref="H21:I21"/>
    <mergeCell ref="J21:K21"/>
    <mergeCell ref="L21:M21"/>
    <mergeCell ref="N21:O21"/>
  </mergeCells>
  <dataValidations>
    <dataValidation type="custom" allowBlank="1" showDropDown="1" sqref="A2:A7 A11:A15 A19:A25">
      <formula1>OR(NOT(ISERROR(DATEVALUE(A2))), AND(ISNUMBER(A2), LEFT(CELL("format", A2))="D"))</formula1>
    </dataValidation>
    <dataValidation type="custom" allowBlank="1" showDropDown="1" sqref="B2:B7 E2:E7 G2:G7 B11:B15 D11:D15 F11:F15 B19:B25">
      <formula1>AND(ISNUMBER(B2),(NOT(OR(NOT(ISERROR(DATEVALUE(B2))), AND(ISNUMBER(B2), LEFT(CELL("format", B2))="D")))))</formula1>
    </dataValidation>
    <dataValidation type="list" allowBlank="1" sqref="C2:C7 C11:C15">
      <formula1>"Luciano,Lucas,Ingrid,Florencia,Gerardo,Administración"</formula1>
    </dataValidation>
    <dataValidation type="list" allowBlank="1" sqref="C19:C25">
      <formula1>"EMPRESA,PROPIO,LUCAS,INGRID,OTRO,OFICINA"</formula1>
    </dataValidation>
    <dataValidation allowBlank="1" showDropDown="1" sqref="D2:D7 F2:F7 E11:E15 F19:F25"/>
    <dataValidation type="custom" allowBlank="1" showDropDown="1" sqref="D19:E25">
      <formula1>AND(ISNUMBER(D19),(NOT(OR(NOT(ISERROR(DATEVALUE(D19))), AND(ISNUMBER(D19), LEFT(CELL("format", D19))="D")))))</formula1>
    </dataValidation>
  </dataValidations>
  <drawing r:id="rId1"/>
  <tableParts count="3"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1" max="21" width="46.5"/>
  </cols>
  <sheetData>
    <row r="1" ht="22.5" customHeight="1">
      <c r="A1" s="54" t="s">
        <v>278</v>
      </c>
      <c r="B1" s="54" t="s">
        <v>279</v>
      </c>
      <c r="C1" s="54" t="s">
        <v>280</v>
      </c>
      <c r="D1" s="54" t="s">
        <v>281</v>
      </c>
      <c r="E1" s="54" t="s">
        <v>282</v>
      </c>
      <c r="F1" s="54" t="s">
        <v>283</v>
      </c>
      <c r="G1" s="54" t="s">
        <v>284</v>
      </c>
      <c r="H1" s="54" t="s">
        <v>285</v>
      </c>
      <c r="I1" s="54" t="s">
        <v>286</v>
      </c>
      <c r="J1" s="54" t="s">
        <v>287</v>
      </c>
      <c r="K1" s="54" t="s">
        <v>288</v>
      </c>
      <c r="L1" s="54" t="s">
        <v>289</v>
      </c>
      <c r="M1" s="54" t="s">
        <v>290</v>
      </c>
      <c r="N1" s="54" t="s">
        <v>291</v>
      </c>
      <c r="O1" s="54" t="s">
        <v>292</v>
      </c>
      <c r="P1" s="54" t="s">
        <v>293</v>
      </c>
      <c r="Q1" s="54" t="s">
        <v>294</v>
      </c>
      <c r="R1" s="73" t="s">
        <v>248</v>
      </c>
      <c r="S1" s="54" t="s">
        <v>295</v>
      </c>
      <c r="T1" s="54" t="s">
        <v>296</v>
      </c>
      <c r="U1" s="73" t="s">
        <v>145</v>
      </c>
    </row>
    <row r="2" ht="22.5" customHeight="1">
      <c r="A2" s="224">
        <v>45879.0</v>
      </c>
      <c r="B2" s="87" t="s">
        <v>297</v>
      </c>
      <c r="C2" s="250" t="s">
        <v>298</v>
      </c>
      <c r="D2" s="88">
        <v>1.0125855087E10</v>
      </c>
      <c r="E2" s="88">
        <v>390.0</v>
      </c>
      <c r="F2" s="88">
        <v>73509.0</v>
      </c>
      <c r="G2" s="88">
        <v>304625.0</v>
      </c>
      <c r="H2" s="57"/>
      <c r="I2" s="103">
        <v>10200.0</v>
      </c>
      <c r="J2" s="103">
        <v>24000.0</v>
      </c>
      <c r="K2" s="103">
        <v>13500.0</v>
      </c>
      <c r="L2" s="155">
        <v>45880.0</v>
      </c>
      <c r="M2" s="89"/>
      <c r="N2" s="88">
        <f t="shared" ref="N2:N7" si="1">M2-F2</f>
        <v>-73509</v>
      </c>
      <c r="O2" s="88">
        <v>27980.0</v>
      </c>
      <c r="P2" s="103">
        <f t="shared" ref="P2:P4" si="2">SUM(H2:K2)</f>
        <v>47700</v>
      </c>
      <c r="Q2" s="103">
        <v>100000.0</v>
      </c>
      <c r="R2" s="103">
        <v>30000.0</v>
      </c>
      <c r="S2" s="57" t="str">
        <f>#REF!</f>
        <v>#REF!</v>
      </c>
      <c r="T2" s="251">
        <v>500.0</v>
      </c>
      <c r="U2" s="252"/>
    </row>
    <row r="3" ht="22.5" customHeight="1">
      <c r="A3" s="227">
        <v>45881.0</v>
      </c>
      <c r="B3" s="92" t="s">
        <v>299</v>
      </c>
      <c r="C3" s="253" t="s">
        <v>298</v>
      </c>
      <c r="D3" s="93">
        <v>1.012588889E10</v>
      </c>
      <c r="E3" s="93">
        <v>394.0</v>
      </c>
      <c r="F3" s="94"/>
      <c r="G3" s="93">
        <v>348673.0</v>
      </c>
      <c r="H3" s="66"/>
      <c r="I3" s="112">
        <v>10200.0</v>
      </c>
      <c r="J3" s="112">
        <v>37000.0</v>
      </c>
      <c r="K3" s="112">
        <v>13500.0</v>
      </c>
      <c r="L3" s="163">
        <v>45882.0</v>
      </c>
      <c r="M3" s="93">
        <v>75470.0</v>
      </c>
      <c r="N3" s="93">
        <f t="shared" si="1"/>
        <v>75470</v>
      </c>
      <c r="O3" s="93">
        <v>27830.0</v>
      </c>
      <c r="P3" s="112">
        <f t="shared" si="2"/>
        <v>60700</v>
      </c>
      <c r="Q3" s="112">
        <v>200000.0</v>
      </c>
      <c r="R3" s="113"/>
      <c r="S3" s="62">
        <f t="shared" ref="S3:S4" si="3">T2</f>
        <v>500</v>
      </c>
      <c r="T3" s="112">
        <v>18200.0</v>
      </c>
      <c r="U3" s="254"/>
    </row>
    <row r="4" ht="22.5" customHeight="1">
      <c r="A4" s="224">
        <v>45896.0</v>
      </c>
      <c r="B4" s="87" t="s">
        <v>300</v>
      </c>
      <c r="C4" s="250" t="s">
        <v>301</v>
      </c>
      <c r="D4" s="88">
        <v>1.0126162946E10</v>
      </c>
      <c r="E4" s="88">
        <v>199.0</v>
      </c>
      <c r="F4" s="88">
        <v>77890.0</v>
      </c>
      <c r="G4" s="88">
        <v>354987.0</v>
      </c>
      <c r="H4" s="57"/>
      <c r="I4" s="103">
        <v>10200.0</v>
      </c>
      <c r="J4" s="103">
        <v>23000.0</v>
      </c>
      <c r="K4" s="103">
        <v>36400.0</v>
      </c>
      <c r="L4" s="155">
        <v>45898.0</v>
      </c>
      <c r="M4" s="88">
        <v>78711.0</v>
      </c>
      <c r="N4" s="88">
        <f t="shared" si="1"/>
        <v>821</v>
      </c>
      <c r="O4" s="88">
        <v>27880.0</v>
      </c>
      <c r="P4" s="103">
        <f t="shared" si="2"/>
        <v>69600</v>
      </c>
      <c r="Q4" s="103">
        <v>34000.0</v>
      </c>
      <c r="R4" s="103">
        <v>50000.0</v>
      </c>
      <c r="S4" s="255">
        <f t="shared" si="3"/>
        <v>18200</v>
      </c>
      <c r="T4" s="103">
        <v>16800.0</v>
      </c>
      <c r="U4" s="256" t="s">
        <v>302</v>
      </c>
    </row>
    <row r="5" ht="22.5" customHeight="1">
      <c r="A5" s="227">
        <v>45898.0</v>
      </c>
      <c r="B5" s="92" t="s">
        <v>303</v>
      </c>
      <c r="C5" s="253" t="s">
        <v>304</v>
      </c>
      <c r="D5" s="93">
        <v>1.0126331532E10</v>
      </c>
      <c r="E5" s="93">
        <v>398.0</v>
      </c>
      <c r="F5" s="93">
        <v>78910.0</v>
      </c>
      <c r="G5" s="93">
        <v>259.0</v>
      </c>
      <c r="H5" s="62">
        <v>171264.0</v>
      </c>
      <c r="I5" s="112">
        <v>31200.0</v>
      </c>
      <c r="J5" s="112">
        <v>0.0</v>
      </c>
      <c r="K5" s="112">
        <v>0.0</v>
      </c>
      <c r="L5" s="163">
        <v>45903.0</v>
      </c>
      <c r="M5" s="93">
        <v>79218.0</v>
      </c>
      <c r="N5" s="93">
        <f t="shared" si="1"/>
        <v>308</v>
      </c>
      <c r="O5" s="93">
        <v>12790.0</v>
      </c>
      <c r="P5" s="112">
        <f t="shared" ref="P5:P6" si="4">I5+K5</f>
        <v>31200</v>
      </c>
      <c r="Q5" s="112">
        <v>31200.0</v>
      </c>
      <c r="R5" s="112">
        <v>0.0</v>
      </c>
      <c r="S5" s="62">
        <v>0.0</v>
      </c>
      <c r="T5" s="112">
        <f t="shared" ref="T5:T7" si="5">R5+Q5+S5-P5</f>
        <v>0</v>
      </c>
      <c r="U5" s="257" t="s">
        <v>305</v>
      </c>
    </row>
    <row r="6" ht="22.5" customHeight="1">
      <c r="A6" s="224">
        <v>45916.0</v>
      </c>
      <c r="B6" s="87" t="s">
        <v>306</v>
      </c>
      <c r="C6" s="250" t="s">
        <v>301</v>
      </c>
      <c r="D6" s="88">
        <v>1.0126518083E10</v>
      </c>
      <c r="E6" s="88">
        <v>3.0</v>
      </c>
      <c r="F6" s="88">
        <v>79484.0</v>
      </c>
      <c r="G6" s="88">
        <v>497.0</v>
      </c>
      <c r="H6" s="255">
        <v>392672.0</v>
      </c>
      <c r="I6" s="103">
        <v>20400.0</v>
      </c>
      <c r="J6" s="103">
        <v>10000.0</v>
      </c>
      <c r="K6" s="103">
        <v>70900.0</v>
      </c>
      <c r="L6" s="155">
        <v>45918.0</v>
      </c>
      <c r="M6" s="88">
        <v>80484.0</v>
      </c>
      <c r="N6" s="88">
        <f t="shared" si="1"/>
        <v>1000</v>
      </c>
      <c r="O6" s="89"/>
      <c r="P6" s="103">
        <f t="shared" si="4"/>
        <v>91300</v>
      </c>
      <c r="Q6" s="103">
        <v>100000.0</v>
      </c>
      <c r="R6" s="104"/>
      <c r="S6" s="255">
        <f t="shared" ref="S6:S7" si="6">T5</f>
        <v>0</v>
      </c>
      <c r="T6" s="103">
        <f t="shared" si="5"/>
        <v>8700</v>
      </c>
      <c r="U6" s="258" t="s">
        <v>307</v>
      </c>
    </row>
    <row r="7" ht="22.5" customHeight="1">
      <c r="A7" s="227">
        <v>45920.0</v>
      </c>
      <c r="B7" s="92" t="s">
        <v>308</v>
      </c>
      <c r="C7" s="253" t="s">
        <v>301</v>
      </c>
      <c r="D7" s="93">
        <v>1.0126575387E10</v>
      </c>
      <c r="E7" s="93">
        <v>5.0</v>
      </c>
      <c r="F7" s="93">
        <v>80484.0</v>
      </c>
      <c r="G7" s="93">
        <v>289.0</v>
      </c>
      <c r="H7" s="62">
        <v>232165.0</v>
      </c>
      <c r="I7" s="112">
        <v>10200.0</v>
      </c>
      <c r="J7" s="112">
        <v>10000.0</v>
      </c>
      <c r="K7" s="112">
        <v>17900.0</v>
      </c>
      <c r="L7" s="163">
        <v>45921.0</v>
      </c>
      <c r="M7" s="93">
        <v>81515.0</v>
      </c>
      <c r="N7" s="93">
        <f t="shared" si="1"/>
        <v>1031</v>
      </c>
      <c r="O7" s="93">
        <v>27900.0</v>
      </c>
      <c r="P7" s="112">
        <f>I7+K7+J7</f>
        <v>38100</v>
      </c>
      <c r="Q7" s="112">
        <v>50000.0</v>
      </c>
      <c r="R7" s="113"/>
      <c r="S7" s="62">
        <f t="shared" si="6"/>
        <v>8700</v>
      </c>
      <c r="T7" s="112">
        <f t="shared" si="5"/>
        <v>20600</v>
      </c>
      <c r="U7" s="259" t="s">
        <v>309</v>
      </c>
    </row>
  </sheetData>
  <dataValidations>
    <dataValidation type="custom" allowBlank="1" showDropDown="1" sqref="A2:A7">
      <formula1>OR(NOT(ISERROR(DATEVALUE(A2))), AND(ISNUMBER(A2), LEFT(CELL("format", A2))="D"))</formula1>
    </dataValidation>
    <dataValidation type="custom" allowBlank="1" showDropDown="1" sqref="F2:G7 I2:K7 M2:M7">
      <formula1>AND(ISNUMBER(F2),(NOT(OR(NOT(ISERROR(DATEVALUE(F2))), AND(ISNUMBER(F2), LEFT(CELL("format", F2))="D")))))</formula1>
    </dataValidation>
    <dataValidation type="custom" allowBlank="1" showDropDown="1" sqref="L2:L7">
      <formula1>OR(NOT(ISERROR(DATEVALUE(L2))), AND(ISNUMBER(L2), LEFT(CELL("format", L2))="D"))</formula1>
    </dataValidation>
    <dataValidation allowBlank="1" showDropDown="1" sqref="B2:B7"/>
    <dataValidation type="custom" allowBlank="1" showDropDown="1" sqref="H2:H7 O2:T7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